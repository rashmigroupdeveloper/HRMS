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c57ad03dbab4744" /></Relationships>
</file>

<file path=xl/workbook.xml><?xml version="1.0" encoding="utf-8"?>
<x:workbook xmlns:x="http://schemas.openxmlformats.org/spreadsheetml/2006/main">
  <x:sheets>
    <x:sheet xmlns:r="http://schemas.openxmlformats.org/officeDocument/2006/relationships" name="SOW checklist" sheetId="1" r:id="R7370d33c79ed4084"/>
    <x:sheet xmlns:r="http://schemas.openxmlformats.org/officeDocument/2006/relationships" name="Findings" sheetId="2" r:id="Ra093973cbc35489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292524"/>
      <x:name val="Arial"/>
    </x:font>
    <x:font>
      <x:b/>
      <x:sz val="10"/>
      <x:color rgb="FFFFFFFF"/>
      <x:name val="Arial"/>
    </x:font>
    <x:font>
      <x:b/>
      <x:sz val="14"/>
      <x:color rgb="FF292524"/>
      <x:name val="Arial"/>
    </x:font>
  </x:fonts>
  <x:fills count="3">
    <x:fill>
      <x:patternFill patternType="none"/>
    </x:fill>
    <x:fill>
      <x:patternFill patternType="gray125"/>
    </x:fill>
    <x:fill>
      <x:patternFill patternType="solid">
        <x:fgColor rgb="FF40352C"/>
      </x:patternFill>
    </x:fill>
  </x:fills>
  <x:borders count="1">
    <x:border>
      <x:left/>
      <x:right/>
      <x:top/>
      <x:bottom/>
      <x:diagonal/>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3" fillId="0" borderId="0" xfId="0" applyNumberFormat="1" applyFont="1" applyFill="1" applyBorder="1"/>
  </x:cellXfs>
  <x:cellStyles count="1">
    <x:cellStyle name="Normal" xfId="0"/>
  </x:cellStyles>
  <x:dxfs count="2">
    <x:dxf>
      <x:font>
        <x:color rgb="FF8C3027"/>
      </x:font>
      <x:fill>
        <x:patternFill patternType="solid">
          <x:bgColor rgb="FFFBE9E7"/>
        </x:patternFill>
      </x:fill>
    </x:dxf>
    <x:dxf>
      <x:font>
        <x:color rgb="FF6E4D17"/>
      </x:font>
      <x:fill>
        <x:patternFill patternType="solid">
          <x:bgColor rgb="FFFFF2D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728cdfed7c14e63" /><Relationship Type="http://schemas.openxmlformats.org/officeDocument/2006/relationships/theme" Target="/xl/theme/theme1.xml" Id="Reb858fcb4f404012" /><Relationship Type="http://schemas.openxmlformats.org/officeDocument/2006/relationships/sharedStrings" Target="/xl/sharedStrings.xml" Id="Rdca4352cf74d4041" /><Relationship Type="http://schemas.openxmlformats.org/officeDocument/2006/relationships/worksheet" Target="/xl/worksheets/sheet1.xml" Id="R7370d33c79ed4084" /><Relationship Type="http://schemas.openxmlformats.org/officeDocument/2006/relationships/worksheet" Target="/xl/worksheets/sheet2.xml" Id="Ra093973cbc354894" /></Relationships>
</file>

<file path=xl/tables/table1.xml><?xml version="1.0" encoding="utf-8"?>
<x:table xmlns:x="http://schemas.openxmlformats.org/spreadsheetml/2006/main" id="1" name="SOWChecklist" displayName="SOWChecklist" ref="A12:K188" headerRowCount="1" totalsRowCount="0" totalsRowShown="0">
  <x:autoFilter ref="A12:K188"/>
  <x:tableColumns count="11">
    <x:tableColumn id="1" name="SOW ID"/>
    <x:tableColumn id="2" name="Original row"/>
    <x:tableColumn id="3" name="Original SOW wording"/>
    <x:tableColumn id="4" name="Current status"/>
    <x:tableColumn id="5" name="Linked findings"/>
    <x:tableColumn id="6" name="Historical code evidence"/>
    <x:tableColumn id="7" name="Remaining scope"/>
    <x:tableColumn id="8" name="Requirement IDs"/>
    <x:tableColumn id="9" name="Execution cards"/>
    <x:tableColumn id="10" name="Database connections"/>
    <x:tableColumn id="11" name="Code evidence paths"/>
  </x:tableColumns>
  <x:tableStyleInfo name="TableStyleLight1" showFirstColumn="0" showLastColumn="0" showRowStripes="1" showColumnStripes="0"/>
</x:table>
</file>

<file path=xl/tables/table2.xml><?xml version="1.0" encoding="utf-8"?>
<x:table xmlns:x="http://schemas.openxmlformats.org/spreadsheetml/2006/main" id="2" name="RepairFindings" displayName="RepairFindings" ref="A6:I52" headerRowCount="1" totalsRowCount="0" totalsRowShown="0">
  <x:autoFilter ref="A6:I52"/>
  <x:tableColumns count="9">
    <x:tableColumn id="1" name="Finding"/>
    <x:tableColumn id="2" name="Repair status"/>
    <x:tableColumn id="3" name="Issue"/>
    <x:tableColumn id="4" name="Original SOW rows"/>
    <x:tableColumn id="5" name="Requirement IDs"/>
    <x:tableColumn id="6" name="Code location at review"/>
    <x:tableColumn id="7" name="Observed problem"/>
    <x:tableColumn id="8" name="Remaining repair"/>
    <x:tableColumn id="9" name="Repair evidence"/>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6ed293ebbf94390" /></Relationships>
</file>

<file path=xl/worksheets/_rels/sheet2.xml.rels>&#65279;<?xml version="1.0" encoding="utf-8"?><Relationships xmlns="http://schemas.openxmlformats.org/package/2006/relationships"><Relationship Type="http://schemas.openxmlformats.org/officeDocument/2006/relationships/table" Target="/xl/tables/table2.xml" Id="Rb670a06c53934e9f" /></Relationships>
</file>

<file path=xl/worksheets/sheet1.xml><?xml version="1.0" encoding="utf-8"?>
<x:worksheet xmlns:x="http://schemas.openxmlformats.org/spreadsheetml/2006/main">
  <x:sheetViews>
    <x:sheetView showGridLines="0" workbookViewId="0">
      <x:pane xSplit="2" ySplit="12" topLeftCell="C13" activePane="bottomRight" state="frozen"/>
    </x:sheetView>
  </x:sheetViews>
  <x:sheetFormatPr defaultRowHeight="15"/>
  <x:cols>
    <x:col min="1" max="1" width="18" hidden="0" customWidth="1"/>
    <x:col min="2" max="2" width="12" hidden="0" customWidth="1"/>
    <x:col min="3" max="3" width="90" hidden="0" customWidth="1"/>
    <x:col min="4" max="4" width="40" hidden="0" customWidth="1"/>
    <x:col min="5" max="5" width="44" hidden="0" customWidth="1"/>
    <x:col min="6" max="6" width="90" hidden="0" customWidth="1"/>
    <x:col min="7" max="7" width="105" hidden="0" customWidth="1"/>
    <x:col min="8" max="8" width="38" hidden="0" customWidth="1"/>
    <x:col min="9" max="9" width="25" hidden="0" customWidth="1"/>
    <x:col min="10" max="10" width="95" hidden="0" customWidth="1"/>
    <x:col min="11" max="11" width="105" hidden="0" customWidth="1"/>
  </x:cols>
  <x:sheetData>
    <x:row r="1">
      <x:c r="A1" s="1"/>
      <x:c r="B1" s="1"/>
      <x:c r="C1" s="1"/>
      <x:c r="D1" s="1"/>
      <x:c r="E1" s="1"/>
      <x:c r="F1" s="1"/>
      <x:c r="G1" s="1"/>
      <x:c r="H1" s="1"/>
      <x:c r="I1" s="1"/>
      <x:c r="J1" s="1"/>
      <x:c r="K1" s="1"/>
    </x:row>
    <x:row r="2">
      <x:c r="A2" s="8" t="str">
        <x:v>HRMS SOW review — 14 Oct 2026</x:v>
      </x:c>
      <x:c r="B2" s="1"/>
      <x:c r="C2" s="1"/>
      <x:c r="D2" s="1"/>
      <x:c r="E2" s="1"/>
      <x:c r="F2" s="1"/>
      <x:c r="G2" s="1"/>
      <x:c r="H2" s="1"/>
      <x:c r="I2" s="1"/>
      <x:c r="J2" s="1"/>
      <x:c r="K2" s="1"/>
    </x:row>
    <x:row r="3">
      <x:c r="A3" s="1"/>
      <x:c r="B3" s="1"/>
      <x:c r="C3" s="1"/>
      <x:c r="D3" s="1"/>
      <x:c r="E3" s="1"/>
      <x:c r="F3" s="1"/>
      <x:c r="G3" s="1"/>
      <x:c r="H3" s="1"/>
      <x:c r="I3" s="1"/>
      <x:c r="J3" s="1"/>
      <x:c r="K3" s="1"/>
    </x:row>
    <x:row r="4">
      <x:c r="A4" s="1" t="str">
        <x:v>SOW rows</x:v>
      </x:c>
      <x:c r="B4" s="1" t="n">
        <x:f>COUNTA(A13:A188)</x:f>
        <x:v>176</x:v>
      </x:c>
      <x:c r="C4" s="1" t="str">
        <x:v>Review findings</x:v>
      </x:c>
      <x:c r="D4" s="1" t="n">
        <x:f>COUNTA(Findings!A7:A52)</x:f>
        <x:v>46</x:v>
      </x:c>
      <x:c r="E4" s="1"/>
      <x:c r="F4" s="1"/>
      <x:c r="G4" s="1"/>
      <x:c r="H4" s="1"/>
      <x:c r="I4" s="1"/>
      <x:c r="J4" s="1"/>
      <x:c r="K4" s="1"/>
    </x:row>
    <x:row r="5">
      <x:c r="A5" s="1" t="str">
        <x:v>Code defects</x:v>
      </x:c>
      <x:c r="B5" s="1" t="n">
        <x:f>COUNTIFS(D13:D188,"Blocked by reviewed defects")</x:f>
        <x:v>109</x:v>
      </x:c>
      <x:c r="C5" s="1" t="str">
        <x:v>Closed findings</x:v>
      </x:c>
      <x:c r="D5" s="1" t="n">
        <x:f>COUNTIFS(Findings!B7:B52,"verified-fixed")</x:f>
        <x:v>1</x:v>
      </x:c>
      <x:c r="E5" s="1"/>
      <x:c r="F5" s="1"/>
      <x:c r="G5" s="1"/>
      <x:c r="H5" s="1"/>
      <x:c r="I5" s="1"/>
      <x:c r="J5" s="1"/>
      <x:c r="K5" s="1"/>
    </x:row>
    <x:row r="6">
      <x:c r="A6" s="1" t="str">
        <x:v>To verify</x:v>
      </x:c>
      <x:c r="B6" s="1" t="n">
        <x:f>COUNTIFS(D13:D188,"Requires current end-to-end verification")</x:f>
        <x:v>32</x:v>
      </x:c>
      <x:c r="C6" s="1" t="str">
        <x:v>Payroll tests passed</x:v>
      </x:c>
      <x:c r="D6" s="1" t="n">
        <x:v>107</x:v>
      </x:c>
      <x:c r="E6" s="1"/>
      <x:c r="F6" s="1"/>
      <x:c r="G6" s="1"/>
      <x:c r="H6" s="1"/>
      <x:c r="I6" s="1"/>
      <x:c r="J6" s="1"/>
      <x:c r="K6" s="1"/>
    </x:row>
    <x:row r="7">
      <x:c r="A7" s="1" t="str">
        <x:v>Manual duties</x:v>
      </x:c>
      <x:c r="B7" s="1" t="n">
        <x:f>COUNTIFS(D13:D188,"Manual/service evidence pending")</x:f>
        <x:v>29</x:v>
      </x:c>
      <x:c r="C7" s="1"/>
      <x:c r="D7" s="1"/>
      <x:c r="E7" s="1"/>
      <x:c r="F7" s="1"/>
      <x:c r="G7" s="1"/>
      <x:c r="H7" s="1"/>
      <x:c r="I7" s="1"/>
      <x:c r="J7" s="1"/>
      <x:c r="K7" s="1"/>
    </x:row>
    <x:row r="8">
      <x:c r="A8" s="1" t="str">
        <x:v>Scope decisions</x:v>
      </x:c>
      <x:c r="B8" s="1" t="n">
        <x:f>COUNTIFS(D13:D188,"Scope decision pending")</x:f>
        <x:v>6</x:v>
      </x:c>
      <x:c r="C8" s="1" t="str">
        <x:v>Historical evidence is retained. Payroll review, signed policies and full backend verify remain open.</x:v>
      </x:c>
      <x:c r="D8" s="1"/>
      <x:c r="E8" s="1"/>
      <x:c r="F8" s="1"/>
      <x:c r="G8" s="1"/>
      <x:c r="H8" s="1"/>
      <x:c r="I8" s="1"/>
      <x:c r="J8" s="1"/>
      <x:c r="K8" s="1"/>
    </x:row>
    <x:row r="9">
      <x:c r="A9" s="1"/>
      <x:c r="B9" s="1"/>
      <x:c r="C9" s="1"/>
      <x:c r="D9" s="1"/>
      <x:c r="E9" s="1"/>
      <x:c r="F9" s="1"/>
      <x:c r="G9" s="1"/>
      <x:c r="H9" s="1"/>
      <x:c r="I9" s="1"/>
      <x:c r="J9" s="1"/>
      <x:c r="K9" s="1"/>
    </x:row>
    <x:row r="10">
      <x:c r="A10" s="1" t="str">
        <x:v>Source: original SOW Tracker .xlsx. IDs are physical spreadsheet rows. Current findings use code review and dated repair evidence.</x:v>
      </x:c>
      <x:c r="B10" s="1"/>
      <x:c r="C10" s="1"/>
      <x:c r="D10" s="1"/>
      <x:c r="E10" s="1"/>
      <x:c r="F10" s="1"/>
      <x:c r="G10" s="1"/>
      <x:c r="H10" s="1"/>
      <x:c r="I10" s="1"/>
      <x:c r="J10" s="1"/>
      <x:c r="K10" s="1"/>
    </x:row>
    <x:row r="11">
      <x:c r="A11" s="1"/>
      <x:c r="B11" s="1"/>
      <x:c r="C11" s="1"/>
      <x:c r="D11" s="1"/>
      <x:c r="E11" s="1"/>
      <x:c r="F11" s="1"/>
      <x:c r="G11" s="1"/>
      <x:c r="H11" s="1"/>
      <x:c r="I11" s="1"/>
      <x:c r="J11" s="1"/>
      <x:c r="K11" s="1"/>
    </x:row>
    <x:row r="12" ht="32" customHeight="1">
      <x:c r="A12" s="7" t="str">
        <x:v>SOW ID</x:v>
      </x:c>
      <x:c r="B12" s="7" t="str">
        <x:v>Original row</x:v>
      </x:c>
      <x:c r="C12" s="7" t="str">
        <x:v>Original SOW wording</x:v>
      </x:c>
      <x:c r="D12" s="7" t="str">
        <x:v>Current status</x:v>
      </x:c>
      <x:c r="E12" s="7" t="str">
        <x:v>Linked findings</x:v>
      </x:c>
      <x:c r="F12" s="7" t="str">
        <x:v>Historical code evidence</x:v>
      </x:c>
      <x:c r="G12" s="7" t="str">
        <x:v>Remaining scope</x:v>
      </x:c>
      <x:c r="H12" s="7" t="str">
        <x:v>Requirement IDs</x:v>
      </x:c>
      <x:c r="I12" s="7" t="str">
        <x:v>Execution cards</x:v>
      </x:c>
      <x:c r="J12" s="7" t="str">
        <x:v>Database connections</x:v>
      </x:c>
      <x:c r="K12" s="7" t="str">
        <x:v>Code evidence paths</x:v>
      </x:c>
    </x:row>
    <x:row r="13" ht="77" customHeight="1">
      <x:c r="A13" s="3" t="str">
        <x:v>SOW-003</x:v>
      </x:c>
      <x:c r="B13" s="3" t="n">
        <x:v>3</x:v>
      </x:c>
      <x:c r="C13" s="3" t="str">
        <x:v>perform changes on software as per client policies and requirements.</x:v>
      </x:c>
      <x:c r="D13" s="3" t="str">
        <x:v>Blocked by reviewed defects</x:v>
      </x:c>
      <x:c r="E13" s="3" t="str">
        <x:v>R03, R04, R05, R06, R07, R08, R09, R10, R11, R12, R13, R16, R17, R18, R20, R22, R28, R29, R30, R31, R33, R34, R38, R39, R40, R41, R42, R44, R45</x:v>
      </x:c>
      <x:c r="F13" s="3" t="str">
        <x:v>Typed settings, policy publication, attendance and leave rules exist.</x:v>
      </x:c>
      <x:c r="G13" s="3" t="str">
        <x:v>Complete payroll/lifecycle policy execution and signed policy settings. Broad SOW promise is not fully met.</x:v>
      </x:c>
      <x:c r="H13" s="3" t="str">
        <x:v>CORE-13, ATT-04/05, PAY-01..18</x:v>
      </x:c>
      <x:c r="I13" s="3" t="str">
        <x:v>P02, W03, D01</x:v>
      </x:c>
      <x:c r="J13" s="3" t="str">
        <x:v>att.month_locks, att.overtime_entries, core.letter_templates, core.letters, core.policies, core.policy_acknowledgments, core.policy_versions, eng.announcements, eng.poll_responses, eng.polls, eng.survey_responses, eng.surveys, pay.arrears, pay.inputs, pay.payment_obligations, pay.payroll_item_lines, pay.payroll_items, pay.payroll_runs, pay.run_input_refs, pay.salary_holds, pay.source_consumptions</x:v>
      </x:c>
      <x:c r="K13" s="3" t="str">
        <x:v>backend/src/modules/settings/settings.service.ts, plans/phase-0-foundations.md, plans/phase-2-payroll-statutory.md, backend/src/api/router.ts, frontend/src/pages/payroll/PayrollPage.tsx</x:v>
      </x:c>
    </x:row>
    <x:row r="14" ht="116" customHeight="1">
      <x:c r="A14" s="3" t="str">
        <x:v>SOW-004</x:v>
      </x:c>
      <x:c r="B14" s="3" t="n">
        <x:v>4</x:v>
      </x:c>
      <x:c r="C14" s="3" t="str">
        <x:v>Setup of client, employees and compensation master</x:v>
      </x:c>
      <x:c r="D14" s="3" t="str">
        <x:v>Blocked by reviewed defects</x:v>
      </x:c>
      <x:c r="E14" s="3" t="str">
        <x:v>R02, R30, R38, R40, R41, R43, R45</x:v>
      </x:c>
      <x:c r="F14" s="3" t="str">
        <x:v>Company/org and employee masters plus import pipeline exist.</x:v>
      </x:c>
      <x:c r="G14" s="3" t="str">
        <x:v>Load/reconcile real employee sources and build compensation master. Historical setup completion is not current migration evidence.</x:v>
      </x:c>
      <x:c r="H14" s="3" t="str">
        <x:v>CORE-01/12, PAY-01</x:v>
      </x:c>
      <x:c r="I14" s="3" t="str">
        <x:v>F02, P01, L01, D07, D09</x:v>
      </x:c>
      <x:c r="J14" s="3" t="str">
        <x:v>core.companies, core.cost_centers, core.departments, core.designations, core.documents, core.employee_assignments, core.employee_education, core.employee_family, core.employee_history, core.employee_prev_employment, core.employees, core.grades, core.import_batches, core.locations, core.mis_codes, core.onboarding_candidates, core.onboarding_tasks, core.org_units, core.plants, core.prejoin_invitations, core.probation_reviews, core.profile_change_requests, core.reporting_tree, core.source_mappings, pay.employee_salaries, pay.salary_components, pay.salary_structure_versions, pay.salary_structures</x:v>
      </x:c>
      <x:c r="K14" s="3" t="str">
        <x:v>backend/src/modules/employees/import.service.ts, backend/src/modules/employees/import.schemas.ts, plans/phase-0-foundations.md, plans/phase-2-payroll-statutory.md, backend/src/api/router.ts, frontend/src/pages/payroll/PayrollPage.tsx</x:v>
      </x:c>
    </x:row>
    <x:row r="15" ht="350" customHeight="1">
      <x:c r="A15" s="3" t="str">
        <x:v>SOW-005</x:v>
      </x:c>
      <x:c r="B15" s="3" t="n">
        <x:v>5</x:v>
      </x:c>
      <x:c r="C15" s="3" t="str">
        <x:v>Transfer of data for the previous months of the current financial year, the previous financial year any prior financial year before that as required in good faith.</x:v>
      </x:c>
      <x:c r="D15" s="3" t="str">
        <x:v>Blocked by reviewed defects</x:v>
      </x:c>
      <x:c r="E15" s="3" t="str">
        <x:v>R02, R30, R38, R43, R45</x:v>
      </x:c>
      <x:c r="F15" s="3" t="str">
        <x:v>EMS seed and greytHR enrichment functions exist, with sample fixtures.</x:v>
      </x:c>
      <x:c r="G15" s="3" t="str">
        <x:v>Import historical payroll/YTD, leave opening balances and agreed prior periods; reconcile against frozen real exports.</x:v>
      </x:c>
      <x:c r="H15" s="3" t="str">
        <x:v>CORE-12, NFR-08</x:v>
      </x:c>
      <x:c r="I15" s="3" t="str">
        <x:v>F01, P07, T04, D11, D12</x:v>
      </x:c>
      <x:c r="J15" s="3" t="str">
        <x:v>ast.assets, ast.assignments, ast.maintenance, att.absence_cases, att.coverage_targets, att.day_records, att.device_watermarks, att.devices, att.employee_shifts, att.holidays, att.ingest_watermarks, att.leave_blackouts, att.manager_month_approvals, att.month_locks, att.overtime_entries, att.quarantined_swipes, att.recompute_queue, att.regularizations, att.roster_publications, att.roster_revisions, att.rosters, att.shift_patterns, att.shift_swaps, att.shifts, att.swipe_events, cmp.calendar_items, cmp.filing_evidence, cmp.registrations, core.audit_log, core.companies, core.cost_centers, core.departments, core.designations, core.documents, core.employee_family, core.employee_history, core.employees, core.grades, core.import_batches, core.letter_templates, core.letters, core.locations, core.mis_codes, core.org_units, core.password_reset_tokens, core.permissions, core.plants, core.policies, core.policy_acknowledgments, core.profile_change_requests, core.reporting_tree, core.role_permissions, core.roles, core.settings, core.source_mappings, core.user_roles, core.users, doc.types, eng.announcements, eng.poll_responses, eng.polls, hd.categories, hd.ticket_messages, hd.tickets, ird.grievances, ird.ic_members, ird.posh_case_access_log, ird.posh_cases, ird.whistleblower_reports, lv.applications, lv.leave_types, lv.ledger, lv.restricted_holidays, lv.rh_selections, pay.arrears, pay.budget_categories, pay.budgets, pay.claim_lines, pay.claim_reservations, pay.claim_types, pay.claims, pay.gl_accounts, pay.output_artifacts, pay.parallel_comparison_lines, pay.parallel_comparisons, pay.payroll_runs, pay.statutory_postings, prv.breach_register, prv.consent_events, prv.consents, prv.legal_holds, prv.notice_acks, prv.notices, prv.processing_register, prv.processors, prv.purge_log, prv.purge_proposals, prv.retention_rules, prv.rights_requests, reporting.kpi_daily, reporting.muster_month, sec.access_events, sec.mfa_enrolments, sec.mfa_recovery_codes, sec.password_history, sec.sessions, te.settlements, te.trips, te.wallet_postings, wf.definitions, wf.delegations, wf.event_subscriptions, wf.notifications, wf.request_steps, wf.requests</x:v>
      </x:c>
      <x:c r="K15" s="3" t="str">
        <x:v>backend/src/modules/employees/import.service.ts, backend/src/modules/employees/import.schemas.ts, plans/phase-0-foundations.md, plans/phase-2-payroll-statutory.md</x:v>
      </x:c>
    </x:row>
    <x:row r="16" ht="77" customHeight="1">
      <x:c r="A16" s="3" t="str">
        <x:v>SOW-008</x:v>
      </x:c>
      <x:c r="B16" s="3" t="n">
        <x:v>8</x:v>
      </x:c>
      <x:c r="C16" s="3" t="str">
        <x:v>Management of centralized repository for employee master data, including personal, employment,  and financial details.</x:v>
      </x:c>
      <x:c r="D16" s="3" t="str">
        <x:v>Requires current end-to-end verification</x:v>
      </x:c>
      <x:c r="E16" s="3" t="str"/>
      <x:c r="F16" s="3" t="str">
        <x:v>Employee personal/employment/statutory/bank fields and masked profile reads exist.</x:v>
      </x:c>
      <x:c r="G16" s="3" t="str">
        <x:v>Finish validated master editing, financial/compensation data and real master reconciliation. Nullable and unvalidated statutory fields remain.</x:v>
      </x:c>
      <x:c r="H16" s="3" t="str">
        <x:v>CORE-01/07/08</x:v>
      </x:c>
      <x:c r="I16" s="3" t="str">
        <x:v>F02, D09</x:v>
      </x:c>
      <x:c r="J16" s="3" t="str">
        <x:v>core.companies, core.cost_centers, core.departments, core.designations, core.employee_assignments, core.employee_education, core.employee_family, core.employee_history, core.employee_prev_employment, core.employees, core.grades, core.import_batches, core.locations, core.mis_codes, core.org_units, core.plants, core.profile_change_requests, core.reporting_tree, core.source_mappings</x:v>
      </x:c>
      <x:c r="K16" s="3" t="str">
        <x:v>backend/migrations/1751810000000_org-employees.ts, backend/src/modules/employees/employees.router.ts, backend/src/modules/employees/import.service.ts, backend/src/modules/employees/import.schemas.ts, plans/phase-0-foundations.md</x:v>
      </x:c>
    </x:row>
    <x:row r="17" ht="51" customHeight="1">
      <x:c r="A17" s="3" t="str">
        <x:v>SOW-009</x:v>
      </x:c>
      <x:c r="B17" s="3" t="n">
        <x:v>9</x:v>
      </x:c>
      <x:c r="C17" s="3" t="str">
        <x:v>Providing secure access controls based on roles and permissions</x:v>
      </x:c>
      <x:c r="D17" s="3" t="str">
        <x:v>Blocked by reviewed defects</x:v>
      </x:c>
      <x:c r="E17" s="3" t="str">
        <x:v>R11, R12, R15, R35, R46</x:v>
      </x:c>
      <x:c r="F17" s="3" t="str">
        <x:v>Central runtime RBAC, scoped employee reads and permission masking exist.</x:v>
      </x:c>
      <x:c r="G17" s="3" t="str">
        <x:v>Close business procedures using authed without a permission. Helpdesk thread/reply lacks ticket-owner/assignee authorization in inspected paths. Prove negative access tests.</x:v>
      </x:c>
      <x:c r="H17" s="3" t="str">
        <x:v>CORE-10, NFR-03</x:v>
      </x:c>
      <x:c r="I17" s="3" t="str">
        <x:v>F03, D03, D11</x:v>
      </x:c>
      <x:c r="J17" s="3" t="str">
        <x:v>core.audit_log, core.password_reset_tokens, core.permissions, core.role_permissions, core.roles, core.settings, core.user_roles, core.users, sec.sessions</x:v>
      </x:c>
      <x:c r="K17" s="3" t="str">
        <x:v>backend/src/api/orpc.ts, backend/src/modules/rbac/rbac.router.ts, backend/src/modules/helpdesk/helpdesk.router.ts, backend/src/modules/helpdesk/helpdesk.service.ts, backend/tests/helpdesk.integration.test.ts, frontend/src/pages/workplace/HelpdeskPage.tsx</x:v>
      </x:c>
    </x:row>
    <x:row r="18" ht="116" customHeight="1">
      <x:c r="A18" s="3" t="str">
        <x:v>SOW-010</x:v>
      </x:c>
      <x:c r="B18" s="3" t="n">
        <x:v>10</x:v>
      </x:c>
      <x:c r="C18" s="3" t="str">
        <x:v>Integration with other Systems, as necessary.</x:v>
      </x:c>
      <x:c r="D18" s="3" t="str">
        <x:v>Blocked by reviewed defects</x:v>
      </x:c>
      <x:c r="E18" s="3" t="str">
        <x:v>R02, R05, R14, R18, R24, R26, R30, R35, R36, R38, R43, R45</x:v>
      </x:c>
      <x:c r="F18" s="3" t="str">
        <x:v>Import pipeline and Kent interface exist.</x:v>
      </x:c>
      <x:c r="G18" s="3" t="str">
        <x:v>Connect real Kent; complete ATS handoff/SSO and SAP loan/JV integrations. Mock Kent is selected at runtime.</x:v>
      </x:c>
      <x:c r="H18" s="3" t="str">
        <x:v>ATT-01/02, CORE-12, LN-03, LC-01</x:v>
      </x:c>
      <x:c r="I18" s="3" t="str">
        <x:v>F04, T01, T03, T04, R01, X01</x:v>
      </x:c>
      <x:c r="J18" s="3" t="str">
        <x:v>att.day_records, att.mobile_submissions, att.quarantined_swipes, att.swipe_events, core.document_operations, core.documents, core.import_batches, core.letter_templates, core.letters, core.onboarding_candidates, core.source_mappings, pay.budget_categories, pay.budgets, pay.claim_lines, pay.claim_reservations, pay.claims, recruit.candidates, recruit.offers, recruit.vacancies, te.booking_events, te.booking_operations, te.currency_rates, te.employee_travel_levels, te.itinerary_segments, te.policy_versions, te.settlements, te.travel_levels, te.trips, te.wallet_postings, wf.event_subscriptions, wf.notification_attempts, wf.notifications</x:v>
      </x:c>
      <x:c r="K18" s="3" t="str">
        <x:v>backend/src/modules/attendance/kent-sync.job.ts, backend/src/modules/employees/import.service.ts, backend/src/modules/employees/import.schemas.ts, plans/phase-0-foundations.md, plans/phase-2-payroll-statutory.md, backend/src/api/router.ts, frontend/src/pages/payroll/PayrollPage.tsx</x:v>
      </x:c>
    </x:row>
    <x:row r="19" ht="48" customHeight="1">
      <x:c r="A19" s="3" t="str">
        <x:v>SOW-012</x:v>
      </x:c>
      <x:c r="B19" s="3" t="n">
        <x:v>12</x:v>
      </x:c>
      <x:c r="C19" s="3" t="str">
        <x:v>Defining multiple pay structures based on grades, job levels, and locations.</x:v>
      </x:c>
      <x:c r="D19" s="3" t="str">
        <x:v>Blocked by reviewed defects</x:v>
      </x:c>
      <x:c r="E19" s="3" t="str">
        <x:v>R04, R18, R20, R39, R40, R41</x:v>
      </x:c>
      <x:c r="F19" s="3" t="str">
        <x:v>Payroll UI shell and integer-paise utilities only.</x:v>
      </x:c>
      <x:c r="G19" s="3" t="str">
        <x:v>Build salary structures/components, grade/location assignments, CTC breakdown and applicable benefits/incentives/perquisites. No payroll business router exists.</x:v>
      </x:c>
      <x:c r="H19" s="3" t="str">
        <x:v>PAY-01/02</x:v>
      </x:c>
      <x:c r="I19" s="3" t="str">
        <x:v>P01, D10</x:v>
      </x:c>
      <x:c r="J19" s="3" t="str">
        <x:v>core.employee_assignments, core.probation_reviews, pay.employee_salaries, pay.salary_components, pay.salary_structure_versions, pay.salary_structures</x:v>
      </x:c>
      <x:c r="K19" s="3" t="str">
        <x:v>plans/phase-2-payroll-statutory.md, backend/src/api/router.ts, frontend/src/pages/payroll/PayrollPage.tsx</x:v>
      </x:c>
    </x:row>
    <x:row r="20" ht="103" customHeight="1">
      <x:c r="A20" s="3" t="str">
        <x:v>SOW-013</x:v>
      </x:c>
      <x:c r="B20" s="3" t="n">
        <x:v>13</x:v>
      </x:c>
      <x:c r="C20" s="3" t="str">
        <x:v>handling basic pay, allowances, deductions, reimbursements, and performance-linked incentives.</x:v>
      </x:c>
      <x:c r="D20" s="3" t="str">
        <x:v>Blocked by reviewed defects</x:v>
      </x:c>
      <x:c r="E20" s="3" t="str">
        <x:v>R04, R18, R20, R39, R40, R41</x:v>
      </x:c>
      <x:c r="F20" s="3" t="str">
        <x:v>Payroll UI shell and integer-paise utilities only.</x:v>
      </x:c>
      <x:c r="G20" s="3" t="str">
        <x:v>Build salary structures/components, grade/location assignments, CTC breakdown and applicable benefits/incentives/perquisites. No payroll business router exists.</x:v>
      </x:c>
      <x:c r="H20" s="3" t="str">
        <x:v>PAY-01/02</x:v>
      </x:c>
      <x:c r="I20" s="3" t="str">
        <x:v>P01, P02, P06, D10</x:v>
      </x:c>
      <x:c r="J20" s="3" t="str">
        <x:v>att.month_locks, att.overtime_entries, core.documents, core.employee_assignments, core.probation_reviews, pay.arrears, pay.budget_categories, pay.budgets, pay.claim_bills, pay.claim_entitlements, pay.claim_lines, pay.claim_reservations, pay.claim_types, pay.claims, pay.employee_salaries, pay.inputs, pay.payment_obligations, pay.payroll_item_lines, pay.payroll_items, pay.payroll_runs, pay.run_input_refs, pay.salary_components, pay.salary_holds, pay.salary_structure_versions, pay.salary_structures, pay.source_consumptions</x:v>
      </x:c>
      <x:c r="K20" s="3" t="str">
        <x:v>plans/phase-2-payroll-statutory.md, backend/src/api/router.ts, frontend/src/pages/payroll/PayrollPage.tsx</x:v>
      </x:c>
    </x:row>
    <x:row r="21" ht="129" customHeight="1">
      <x:c r="A21" s="3" t="str">
        <x:v>SOW-014</x:v>
      </x:c>
      <x:c r="B21" s="3" t="n">
        <x:v>14</x:v>
      </x:c>
      <x:c r="C21" s="3" t="str">
        <x:v>customization for CTC breakup, flexi-benefits, and perquisites</x:v>
      </x:c>
      <x:c r="D21" s="3" t="str">
        <x:v>Blocked by reviewed defects</x:v>
      </x:c>
      <x:c r="E21" s="3" t="str">
        <x:v>R04, R18, R20, R39, R40, R41</x:v>
      </x:c>
      <x:c r="F21" s="3" t="str">
        <x:v>Payroll UI shell and integer-paise utilities only.</x:v>
      </x:c>
      <x:c r="G21" s="3" t="str">
        <x:v>Build salary structures/components, grade/location assignments, CTC breakdown and applicable benefits/incentives/perquisites. No payroll business router exists.</x:v>
      </x:c>
      <x:c r="H21" s="3" t="str">
        <x:v>PAY-01/02</x:v>
      </x:c>
      <x:c r="I21" s="3" t="str">
        <x:v>P01, P03, P06, T01, D01, D10</x:v>
      </x:c>
      <x:c r="J21" s="3" t="str">
        <x:v>core.documents, core.employee_assignments, core.probation_reviews, pay.budget_categories, pay.budgets, pay.claim_bills, pay.claim_entitlements, pay.claim_lines, pay.claim_reservations, pay.claim_types, pay.claims, pay.employee_salaries, pay.investment_declarations, pay.it_slabs, pay.output_artifacts, pay.payment_obligations, pay.previous_employer_income, pay.pt_slabs, pay.salary_components, pay.salary_structure_versions, pay.salary_structures, pay.source_consumptions, pay.statutory_memberships, pay.statutory_postings, pay.statutory_rates, pay.tax_elections, pay.tds_challans, te.currency_rates, te.employee_travel_levels, te.itinerary_segments, te.policy_versions, te.travel_levels, te.trips</x:v>
      </x:c>
      <x:c r="K21" s="3" t="str">
        <x:v>plans/phase-2-payroll-statutory.md, backend/src/api/router.ts, frontend/src/pages/payroll/PayrollPage.tsx</x:v>
      </x:c>
    </x:row>
    <x:row r="22" ht="64" customHeight="1">
      <x:c r="A22" s="3" t="str">
        <x:v>SOW-016</x:v>
      </x:c>
      <x:c r="B22" s="3" t="n">
        <x:v>16</x:v>
      </x:c>
      <x:c r="C22" s="3" t="str">
        <x:v>Platform automated policy updates on portal and employee communication</x:v>
      </x:c>
      <x:c r="D22" s="3" t="str">
        <x:v>Requires current end-to-end verification</x:v>
      </x:c>
      <x:c r="E22" s="3" t="str"/>
      <x:c r="F22" s="3" t="str">
        <x:v>Policy publish, audience feed and acknowledgment exist.</x:v>
      </x:c>
      <x:c r="G22" s="3" t="str">
        <x:v>Wire real communication delivery; queue transport currently logs. Confirm publication audience receives updates.</x:v>
      </x:c>
      <x:c r="H22" s="3" t="str">
        <x:v>CORE-13, WF-02</x:v>
      </x:c>
      <x:c r="I22" s="3" t="str">
        <x:v>F04, W03</x:v>
      </x:c>
      <x:c r="J22" s="3" t="str">
        <x:v>core.document_operations, core.documents, core.letter_templates, core.letters, core.policies, core.policy_acknowledgments, core.policy_versions, eng.announcements, eng.poll_responses, eng.polls, eng.survey_responses, eng.surveys, wf.event_subscriptions, wf.notification_attempts, wf.notifications</x:v>
      </x:c>
      <x:c r="K22" s="3" t="str">
        <x:v>backend/src/modules/policies/policies.service.ts, frontend/src/pages/policies/PoliciesPage.tsx, backend/src/modules/notifications/notifications.service.ts, backend/src/jobs/worker.ts</x:v>
      </x:c>
    </x:row>
    <x:row r="23" ht="51" customHeight="1">
      <x:c r="A23" s="3" t="str">
        <x:v>SOW-017</x:v>
      </x:c>
      <x:c r="B23" s="3" t="n">
        <x:v>17</x:v>
      </x:c>
      <x:c r="C23" s="3" t="str">
        <x:v>Platform real-time tracking of policy adherence</x:v>
      </x:c>
      <x:c r="D23" s="3" t="str">
        <x:v>Requires current end-to-end verification</x:v>
      </x:c>
      <x:c r="E23" s="3" t="str"/>
      <x:c r="F23" s="3" t="str">
        <x:v>Policy acknowledgment percentages and employee report exist.</x:v>
      </x:c>
      <x:c r="G23" s="3" t="str">
        <x:v>Acknowledgment proves reading, not general policy adherence. Agree and implement any additional compliance checks.</x:v>
      </x:c>
      <x:c r="H23" s="3" t="str">
        <x:v>CORE-13</x:v>
      </x:c>
      <x:c r="I23" s="3" t="str">
        <x:v>W03, D08</x:v>
      </x:c>
      <x:c r="J23" s="3" t="str">
        <x:v>core.letter_templates, core.letters, core.policies, core.policy_acknowledgments, core.policy_versions, eng.announcements, eng.poll_responses, eng.polls, eng.survey_responses, eng.surveys</x:v>
      </x:c>
      <x:c r="K23" s="3" t="str">
        <x:v>backend/src/modules/policies/policies.service.ts, docs/01-REQUIREMENTS-PRD.md</x:v>
      </x:c>
    </x:row>
    <x:row r="24" ht="64" customHeight="1">
      <x:c r="A24" s="3" t="str">
        <x:v>SOW-018</x:v>
      </x:c>
      <x:c r="B24" s="3" t="n">
        <x:v>18</x:v>
      </x:c>
      <x:c r="C24" s="3" t="str">
        <x:v>Real-Time Policy Acknowledgement Tracking and automated alerts for non-compliance .</x:v>
      </x:c>
      <x:c r="D24" s="3" t="str">
        <x:v>Requires current end-to-end verification</x:v>
      </x:c>
      <x:c r="E24" s="3" t="str"/>
      <x:c r="F24" s="3" t="str">
        <x:v>Acknowledgment tracking, pending list and weekly reminder enqueue exist.</x:v>
      </x:c>
      <x:c r="G24" s="3" t="str">
        <x:v>Deliver reminders via real notification consumer/transport; verify acknowledgment report population and end-to-end alerts.</x:v>
      </x:c>
      <x:c r="H24" s="3" t="str">
        <x:v>CORE-13, WF-02</x:v>
      </x:c>
      <x:c r="I24" s="3" t="str">
        <x:v>F04, W03, D04</x:v>
      </x:c>
      <x:c r="J24" s="3" t="str">
        <x:v>core.document_operations, core.documents, core.letter_templates, core.letters, core.policies, core.policy_acknowledgments, core.policy_versions, eng.announcements, eng.poll_responses, eng.polls, eng.survey_responses, eng.surveys, wf.event_subscriptions, wf.notification_attempts, wf.notifications</x:v>
      </x:c>
      <x:c r="K24" s="3" t="str">
        <x:v>backend/src/modules/policies/policies.service.ts, backend/src/modules/notifications/notifications.service.ts, backend/src/jobs/worker.ts</x:v>
      </x:c>
    </x:row>
    <x:row r="25" ht="51" customHeight="1">
      <x:c r="A25" s="3" t="str">
        <x:v>SOW-019</x:v>
      </x:c>
      <x:c r="B25" s="3" t="n">
        <x:v>19</x:v>
      </x:c>
      <x:c r="C25" s="3" t="str">
        <x:v>Platform Dashboard for HR and management reporting.</x:v>
      </x:c>
      <x:c r="D25" s="3" t="str">
        <x:v>Blocked by reviewed defects</x:v>
      </x:c>
      <x:c r="E25" s="3" t="str">
        <x:v>R32</x:v>
      </x:c>
      <x:c r="F25" s="3" t="str">
        <x:v>HR/BU/CEO pages and KPI snapshot read/build exist.</x:v>
      </x:c>
      <x:c r="G25" s="3" t="str">
        <x:v>Complete cost/CTC/burnout KPIs, correct OT metric (detected minutes currently used, not approved) and attrition denominator (current headcount, not average). Finish drilldowns and accepted KPI fixtures.</x:v>
      </x:c>
      <x:c r="H25" s="3" t="str">
        <x:v>RPT-03/04, CORE-13</x:v>
      </x:c>
      <x:c r="I25" s="3" t="str">
        <x:v>W04</x:v>
      </x:c>
      <x:c r="J25" s="3" t="str">
        <x:v>core.employee_assignments, pay.payroll_item_lines, pay.payroll_items, pay.source_consumptions, reporting.kpi_daily, reporting.muster_month, reporting.snapshot_builds</x:v>
      </x:c>
      <x:c r="K25" s="3" t="str">
        <x:v>backend/src/modules/reports/kpi-snapshot.service.ts, backend/src/modules/reports/dashboard.service.ts, plans/phase-3-lifecycle-assets-executive.md</x:v>
      </x:c>
    </x:row>
    <x:row r="26" ht="51" customHeight="1">
      <x:c r="A26" s="3" t="str">
        <x:v>SOW-022</x:v>
      </x:c>
      <x:c r="B26" s="3" t="n">
        <x:v>22</x:v>
      </x:c>
      <x:c r="C26" s="3" t="str">
        <x:v>Generation of offer letter and approvals.</x:v>
      </x:c>
      <x:c r="D26" s="3" t="str">
        <x:v>Blocked by reviewed defects</x:v>
      </x:c>
      <x:c r="E26" s="3" t="str">
        <x:v>R14, R18, R19, R35</x:v>
      </x:c>
      <x:c r="F26" s="3" t="str">
        <x:v>Generic workflow spine and recruitment UI shell exist.</x:v>
      </x:c>
      <x:c r="G26" s="3" t="str">
        <x:v>Integrate ATS offers and exact LOI approvals, issue offer letters and expose tracked offer report. Standalone ATS is outside this repository review.</x:v>
      </x:c>
      <x:c r="H26" s="3" t="str">
        <x:v>WF-01, RPT-02, LC-01</x:v>
      </x:c>
      <x:c r="I26" s="3" t="str">
        <x:v>L01, R01</x:v>
      </x:c>
      <x:c r="J26" s="3" t="str">
        <x:v>core.documents, core.employee_assignments, core.employees, core.onboarding_candidates, core.onboarding_tasks, core.prejoin_invitations, core.source_mappings, pay.employee_salaries, recruit.candidates, recruit.offers, recruit.vacancies</x:v>
      </x:c>
      <x:c r="K26" s="3" t="str">
        <x:v>frontend/src/pages/recruitment/RecruitmentPage.tsx, plans/phase-4-ats-absorption.md, plans/phase-3-lifecycle-assets-executive.md, backend/src/modules/lifecycle/lifecycle.router.ts, frontend/src/pages/lifecycle/LifecyclePage.tsx</x:v>
      </x:c>
    </x:row>
    <x:row r="27" ht="103" customHeight="1">
      <x:c r="A27" s="3" t="str">
        <x:v>SOW-023</x:v>
      </x:c>
      <x:c r="B27" s="3" t="n">
        <x:v>23</x:v>
      </x:c>
      <x:c r="C27" s="3" t="str">
        <x:v>Tracking appointment letters.</x:v>
      </x:c>
      <x:c r="D27" s="3" t="str">
        <x:v>Requires current end-to-end verification</x:v>
      </x:c>
      <x:c r="E27" s="3" t="str"/>
      <x:c r="F27" s="3" t="str">
        <x:v>Appointment template, signature workflow, employee archive and ESS letters page exist.</x:v>
      </x:c>
      <x:c r="G27" s="3" t="str">
        <x:v>HR template acceptance and UAT remain; production storage/delivery are cross-cutting prerequisites.</x:v>
      </x:c>
      <x:c r="H27" s="3" t="str">
        <x:v>CORE-09</x:v>
      </x:c>
      <x:c r="I27" s="3" t="str">
        <x:v>P04, L01, W03</x:v>
      </x:c>
      <x:c r="J27" s="3" t="str">
        <x:v>core.documents, core.employee_assignments, core.employees, core.letter_templates, core.letters, core.onboarding_candidates, core.onboarding_tasks, core.policies, core.policy_acknowledgments, core.policy_versions, core.prejoin_invitations, core.source_mappings, eng.announcements, eng.poll_responses, eng.polls, eng.survey_responses, eng.surveys, pay.bank_batch_lines, pay.bank_batches, pay.employee_salaries, pay.gl_accounts, pay.journal_batches, pay.journal_lines, pay.output_artifacts, pay.payment_events, pay.payment_obligations</x:v>
      </x:c>
      <x:c r="K27" s="3" t="str">
        <x:v>backend/migrations/1751890000000_absence-letters-policies.ts, backend/src/modules/letters/letters.service.ts, frontend/src/pages/letters/MyLettersPage.tsx</x:v>
      </x:c>
    </x:row>
    <x:row r="28" ht="77" customHeight="1">
      <x:c r="A28" s="3" t="str">
        <x:v>SOW-025</x:v>
      </x:c>
      <x:c r="B28" s="3" t="n">
        <x:v>25</x:v>
      </x:c>
      <x:c r="C28" s="3" t="str">
        <x:v>Updation of candidate information by capturing through personal email.</x:v>
      </x:c>
      <x:c r="D28" s="3" t="str">
        <x:v>Blocked by reviewed defects</x:v>
      </x:c>
      <x:c r="E28" s="3" t="str">
        <x:v>R14, R18, R35, R36</x:v>
      </x:c>
      <x:c r="F28" s="3" t="str">
        <x:v>Onboarding page is a pending shell; boarding/exit report is a separate implemented slice.</x:v>
      </x:c>
      <x:c r="G28" s="3" t="str">
        <x:v>Build personal-email prejoin link, candidate form, delivery/resend tracking and conversion.</x:v>
      </x:c>
      <x:c r="H28" s="3" t="str">
        <x:v>LC-01/02</x:v>
      </x:c>
      <x:c r="I28" s="3" t="str">
        <x:v>F04, L01, R01, D03, D11</x:v>
      </x:c>
      <x:c r="J28" s="3" t="str">
        <x:v>core.document_operations, core.documents, core.employee_assignments, core.employees, core.letter_templates, core.letters, core.onboarding_candidates, core.onboarding_tasks, core.prejoin_invitations, core.source_mappings, pay.employee_salaries, recruit.candidates, recruit.offers, recruit.vacancies, wf.event_subscriptions, wf.notification_attempts, wf.notifications</x:v>
      </x:c>
      <x:c r="K28" s="3" t="str">
        <x:v>plans/phase-3-lifecycle-assets-executive.md, backend/src/modules/lifecycle/lifecycle.router.ts, frontend/src/pages/lifecycle/LifecyclePage.tsx</x:v>
      </x:c>
    </x:row>
    <x:row r="29" ht="77" customHeight="1">
      <x:c r="A29" s="3" t="str">
        <x:v>SOW-026</x:v>
      </x:c>
      <x:c r="B29" s="3" t="n">
        <x:v>26</x:v>
      </x:c>
      <x:c r="C29" s="3" t="str">
        <x:v>Platform auto CTC structuring based on predefined templates.</x:v>
      </x:c>
      <x:c r="D29" s="3" t="str">
        <x:v>Blocked by reviewed defects</x:v>
      </x:c>
      <x:c r="E29" s="3" t="str">
        <x:v>R04, R18, R20, R39, R40, R41</x:v>
      </x:c>
      <x:c r="F29" s="3" t="str">
        <x:v>Payroll UI shell and integer-paise utilities only.</x:v>
      </x:c>
      <x:c r="G29" s="3" t="str">
        <x:v>Build salary structures/components, grade/location assignments, CTC breakdown and applicable benefits/incentives/perquisites. No payroll business router exists.</x:v>
      </x:c>
      <x:c r="H29" s="3" t="str">
        <x:v>PAY-01/02</x:v>
      </x:c>
      <x:c r="I29" s="3" t="str">
        <x:v>P01, L01, R01, D10</x:v>
      </x:c>
      <x:c r="J29" s="3" t="str">
        <x:v>core.documents, core.employee_assignments, core.employees, core.onboarding_candidates, core.onboarding_tasks, core.prejoin_invitations, core.probation_reviews, core.source_mappings, pay.employee_salaries, pay.salary_components, pay.salary_structure_versions, pay.salary_structures, recruit.candidates, recruit.offers, recruit.vacancies</x:v>
      </x:c>
      <x:c r="K29" s="3" t="str">
        <x:v>plans/phase-2-payroll-statutory.md, backend/src/api/router.ts, frontend/src/pages/payroll/PayrollPage.tsx</x:v>
      </x:c>
    </x:row>
    <x:row r="30" ht="64" customHeight="1">
      <x:c r="A30" s="3" t="str">
        <x:v>SOW-027</x:v>
      </x:c>
      <x:c r="B30" s="3" t="n">
        <x:v>27</x:v>
      </x:c>
      <x:c r="C30" s="3" t="str">
        <x:v>Management of flexi-basket benefits and reimbursements.</x:v>
      </x:c>
      <x:c r="D30" s="3" t="str">
        <x:v>Blocked by reviewed defects</x:v>
      </x:c>
      <x:c r="E30" s="3" t="str">
        <x:v>R01, R05, R12, R13, R14, R23, R25, R26, R27, R28, R29, R30, R33, R38</x:v>
      </x:c>
      <x:c r="F30" s="3" t="str">
        <x:v>ESS pay/loan/claim shells only; generic workflows available.</x:v>
      </x:c>
      <x:c r="G30" s="3" t="str">
        <x:v>Implement the row-specific ESS transaction: benefits/claims, investment declaration, loan application or payslip/tax generation. Backend modules are absent.</x:v>
      </x:c>
      <x:c r="H30" s="3" t="str">
        <x:v>PAY-13, LN-01/02, CLM-01..06, PAY-06</x:v>
      </x:c>
      <x:c r="I30" s="3" t="str">
        <x:v>P06, T01, D10</x:v>
      </x:c>
      <x:c r="J30" s="3" t="str">
        <x:v>core.documents, pay.budget_categories, pay.budgets, pay.claim_bills, pay.claim_entitlements, pay.claim_lines, pay.claim_reservations, pay.claim_types, pay.claims, pay.payment_obligations, pay.source_consumptions, te.currency_rates, te.employee_travel_levels, te.itinerary_segments, te.policy_versions, te.travel_levels, te.trips</x:v>
      </x:c>
      <x:c r="K30" s="3" t="str">
        <x:v>plans/phase-2-payroll-statutory.md, backend/src/api/router.ts, frontend/src/pages/payroll/PayrollPage.tsx</x:v>
      </x:c>
    </x:row>
    <x:row r="31" ht="51" customHeight="1">
      <x:c r="A31" s="3" t="str">
        <x:v>SOW-028</x:v>
      </x:c>
      <x:c r="B31" s="3" t="n">
        <x:v>28</x:v>
      </x:c>
      <x:c r="C31" s="3" t="str">
        <x:v>Employee investment declarations for tax planning.</x:v>
      </x:c>
      <x:c r="D31" s="3" t="str">
        <x:v>Blocked by reviewed defects</x:v>
      </x:c>
      <x:c r="E31" s="3" t="str">
        <x:v>R01, R05, R12, R13, R14, R23, R25, R26, R27, R28, R29, R30, R33, R38</x:v>
      </x:c>
      <x:c r="F31" s="3" t="str">
        <x:v>ESS pay/loan/claim shells only; generic workflows available.</x:v>
      </x:c>
      <x:c r="G31" s="3" t="str">
        <x:v>Implement the row-specific ESS transaction: benefits/claims, investment declaration, loan application or payslip/tax generation. Backend modules are absent.</x:v>
      </x:c>
      <x:c r="H31" s="3" t="str">
        <x:v>PAY-13, LN-01/02, CLM-01..06, PAY-06</x:v>
      </x:c>
      <x:c r="I31" s="3" t="str">
        <x:v>P03, D01</x:v>
      </x:c>
      <x:c r="J31" s="3" t="str">
        <x:v>pay.investment_declarations, pay.it_slabs, pay.output_artifacts, pay.previous_employer_income, pay.pt_slabs, pay.statutory_memberships, pay.statutory_postings, pay.statutory_rates, pay.tax_elections, pay.tds_challans</x:v>
      </x:c>
      <x:c r="K31" s="3" t="str">
        <x:v>plans/phase-2-payroll-statutory.md, backend/src/api/router.ts, frontend/src/pages/payroll/PayrollPage.tsx</x:v>
      </x:c>
    </x:row>
    <x:row r="32" ht="51" customHeight="1">
      <x:c r="A32" s="3" t="str">
        <x:v>SOW-029</x:v>
      </x:c>
      <x:c r="B32" s="3" t="n">
        <x:v>29</x:v>
      </x:c>
      <x:c r="C32" s="3" t="str">
        <x:v>Employee loan processing on ESS portal and approval workflow .</x:v>
      </x:c>
      <x:c r="D32" s="3" t="str">
        <x:v>Blocked by reviewed defects</x:v>
      </x:c>
      <x:c r="E32" s="3" t="str">
        <x:v>R01, R05, R12, R13, R14, R23, R25, R26, R27, R28, R29, R30, R33, R38</x:v>
      </x:c>
      <x:c r="F32" s="3" t="str">
        <x:v>ESS pay/loan/claim shells only; generic workflows available.</x:v>
      </x:c>
      <x:c r="G32" s="3" t="str">
        <x:v>Implement the row-specific ESS transaction: benefits/claims, investment declaration, loan application or payslip/tax generation. Backend modules are absent.</x:v>
      </x:c>
      <x:c r="H32" s="3" t="str">
        <x:v>PAY-13, LN-01/02, CLM-01..06, PAY-06</x:v>
      </x:c>
      <x:c r="I32" s="3" t="str">
        <x:v>P05, T02</x:v>
      </x:c>
      <x:c r="J32" s="3" t="str">
        <x:v>pay.claim_lines, pay.claim_reservations, pay.claims, pay.loan_installments, pay.loan_postings, pay.loans, pay.payment_events, pay.payment_obligations, pay.source_consumptions, te.advances, te.settlement_advances, te.settlements, te.wallet_postings</x:v>
      </x:c>
      <x:c r="K32" s="3" t="str">
        <x:v>plans/phase-2-payroll-statutory.md, backend/src/api/router.ts, frontend/src/pages/payroll/PayrollPage.tsx</x:v>
      </x:c>
    </x:row>
    <x:row r="33" ht="90" customHeight="1">
      <x:c r="A33" s="3" t="str">
        <x:v>SOW-030</x:v>
      </x:c>
      <x:c r="B33" s="3" t="n">
        <x:v>30</x:v>
      </x:c>
      <x:c r="C33" s="3" t="str">
        <x:v>Payslip and tax sheet generation for onboarding employees.</x:v>
      </x:c>
      <x:c r="D33" s="3" t="str">
        <x:v>Blocked by reviewed defects</x:v>
      </x:c>
      <x:c r="E33" s="3" t="str">
        <x:v>R01, R05, R12, R13, R14, R23, R25, R26, R27, R28, R29, R30, R33, R38</x:v>
      </x:c>
      <x:c r="F33" s="3" t="str">
        <x:v>ESS pay/loan/claim shells only; generic workflows available.</x:v>
      </x:c>
      <x:c r="G33" s="3" t="str">
        <x:v>Implement the row-specific ESS transaction: benefits/claims, investment declaration, loan application or payslip/tax generation. Backend modules are absent.</x:v>
      </x:c>
      <x:c r="H33" s="3" t="str">
        <x:v>PAY-13, LN-01/02, CLM-01..06, PAY-06</x:v>
      </x:c>
      <x:c r="I33" s="3" t="str">
        <x:v>P01, P04, L01</x:v>
      </x:c>
      <x:c r="J33" s="3" t="str">
        <x:v>core.documents, core.employee_assignments, core.employees, core.onboarding_candidates, core.onboarding_tasks, core.prejoin_invitations, core.probation_reviews, core.source_mappings, pay.bank_batch_lines, pay.bank_batches, pay.employee_salaries, pay.gl_accounts, pay.journal_batches, pay.journal_lines, pay.output_artifacts, pay.payment_events, pay.payment_obligations, pay.salary_components, pay.salary_structure_versions, pay.salary_structures</x:v>
      </x:c>
      <x:c r="K33" s="3" t="str">
        <x:v>plans/phase-2-payroll-statutory.md, backend/src/api/router.ts, frontend/src/pages/payroll/PayrollPage.tsx</x:v>
      </x:c>
    </x:row>
    <x:row r="34" ht="90" customHeight="1">
      <x:c r="A34" s="3" t="str">
        <x:v>SOW-031</x:v>
      </x:c>
      <x:c r="B34" s="3" t="n">
        <x:v>31</x:v>
      </x:c>
      <x:c r="C34" s="3" t="str">
        <x:v>capturing previous employment details.</x:v>
      </x:c>
      <x:c r="D34" s="3" t="str">
        <x:v>Blocked by reviewed defects</x:v>
      </x:c>
      <x:c r="E34" s="3" t="str">
        <x:v>R14, R18, R35</x:v>
      </x:c>
      <x:c r="F34" s="3" t="str">
        <x:v>Current profile/import omits previous-employment capture.</x:v>
      </x:c>
      <x:c r="G34" s="3" t="str">
        <x:v>Build previous-employment persistence, import/form/read contract and onboarding integration. Specified table is absent from the 07 Oct schema recon.</x:v>
      </x:c>
      <x:c r="H34" s="3" t="str">
        <x:v>CORE-01, LC-01</x:v>
      </x:c>
      <x:c r="I34" s="3" t="str">
        <x:v>F02, L01</x:v>
      </x:c>
      <x:c r="J34" s="3" t="str">
        <x:v>core.companies, core.cost_centers, core.departments, core.designations, core.documents, core.employee_assignments, core.employee_education, core.employee_family, core.employee_history, core.employee_prev_employment, core.employees, core.grades, core.import_batches, core.locations, core.mis_codes, core.onboarding_candidates, core.onboarding_tasks, core.org_units, core.plants, core.prejoin_invitations, core.profile_change_requests, core.reporting_tree, core.source_mappings, pay.employee_salaries</x:v>
      </x:c>
      <x:c r="K34" s="3" t="str">
        <x:v>backend/migrations/1751810000000_org-employees.ts, backend/src/modules/employees/employees.router.ts, docs/recon/greythr-additional-fields-2026-10-07.md</x:v>
      </x:c>
    </x:row>
    <x:row r="35" ht="51" customHeight="1">
      <x:c r="A35" s="3" t="str">
        <x:v>SOW-033</x:v>
      </x:c>
      <x:c r="B35" s="3" t="n">
        <x:v>33</x:v>
      </x:c>
      <x:c r="C35" s="3" t="str">
        <x:v>Probation review tracking and automated reminders</x:v>
      </x:c>
      <x:c r="D35" s="3" t="str">
        <x:v>Blocked by reviewed defects</x:v>
      </x:c>
      <x:c r="E35" s="3" t="str">
        <x:v>R04, R14, R18, R19, R20, R39, R40, R41</x:v>
      </x:c>
      <x:c r="F35" s="3" t="str">
        <x:v>Probation fields and generic confirmation chain definition exist.</x:v>
      </x:c>
      <x:c r="G35" s="3" t="str">
        <x:v>Build probation reviews, due reminders, outcome hooks, salary switch and letters. A seeded chain alone does not complete the process.</x:v>
      </x:c>
      <x:c r="H35" s="3" t="str">
        <x:v>LC-04, PAY-02</x:v>
      </x:c>
      <x:c r="I35" s="3" t="str">
        <x:v>F04, L02, D04, D11</x:v>
      </x:c>
      <x:c r="J35" s="3" t="str">
        <x:v>core.document_operations, core.documents, core.employee_history, core.letter_templates, core.letters, core.probation_reviews, pay.employee_salaries, wf.event_subscriptions, wf.notification_attempts, wf.notifications, wf.requests</x:v>
      </x:c>
      <x:c r="K35" s="3" t="str">
        <x:v>plans/phase-3-lifecycle-assets-executive.md, backend/src/modules/lifecycle/lifecycle.router.ts, frontend/src/pages/lifecycle/LifecyclePage.tsx, backend/src/modules/workflows/definitions.seed.ts</x:v>
      </x:c>
    </x:row>
    <x:row r="36" ht="51" customHeight="1">
      <x:c r="A36" s="3" t="str">
        <x:v>SOW-034</x:v>
      </x:c>
      <x:c r="B36" s="3" t="n">
        <x:v>34</x:v>
      </x:c>
      <x:c r="C36" s="3" t="str">
        <x:v>Updating multi-level approval workflows for employee confirmation</x:v>
      </x:c>
      <x:c r="D36" s="3" t="str">
        <x:v>Blocked by reviewed defects</x:v>
      </x:c>
      <x:c r="E36" s="3" t="str">
        <x:v>R04, R14, R18, R19, R20, R39, R40, R41</x:v>
      </x:c>
      <x:c r="F36" s="3" t="str">
        <x:v>Probation fields and generic confirmation chain definition exist.</x:v>
      </x:c>
      <x:c r="G36" s="3" t="str">
        <x:v>Build probation reviews, due reminders, outcome hooks, salary switch and letters. A seeded chain alone does not complete the process.</x:v>
      </x:c>
      <x:c r="H36" s="3" t="str">
        <x:v>LC-04, PAY-02</x:v>
      </x:c>
      <x:c r="I36" s="3" t="str">
        <x:v>F04, L02, D04, D11</x:v>
      </x:c>
      <x:c r="J36" s="3" t="str">
        <x:v>core.document_operations, core.documents, core.employee_history, core.letter_templates, core.letters, core.probation_reviews, pay.employee_salaries, wf.event_subscriptions, wf.notification_attempts, wf.notifications, wf.requests</x:v>
      </x:c>
      <x:c r="K36" s="3" t="str">
        <x:v>plans/phase-3-lifecycle-assets-executive.md, backend/src/modules/lifecycle/lifecycle.router.ts, frontend/src/pages/lifecycle/LifecyclePage.tsx, backend/src/modules/workflows/definitions.seed.ts</x:v>
      </x:c>
    </x:row>
    <x:row r="37" ht="51" customHeight="1">
      <x:c r="A37" s="3" t="str">
        <x:v>SOW-036</x:v>
      </x:c>
      <x:c r="B37" s="3" t="n">
        <x:v>36</x:v>
      </x:c>
      <x:c r="C37" s="3" t="str">
        <x:v>Platform automated workflow for internal department/location transfers.</x:v>
      </x:c>
      <x:c r="D37" s="3" t="str">
        <x:v>Blocked by reviewed defects</x:v>
      </x:c>
      <x:c r="E37" s="3" t="str">
        <x:v>R04, R08, R10, R21, R22, R31</x:v>
      </x:c>
      <x:c r="F37" s="3" t="str">
        <x:v>Employee history schema and generic transfer definition exist.</x:v>
      </x:c>
      <x:c r="G37" s="3" t="str">
        <x:v>Build approved effective-dated transfer mutations, document updates, compensation/role changes and entity payroll continuity.</x:v>
      </x:c>
      <x:c r="H37" s="3" t="str">
        <x:v>LC-05, PAY-16</x:v>
      </x:c>
      <x:c r="I37" s="3" t="str">
        <x:v>L03, D07, D11</x:v>
      </x:c>
      <x:c r="J37" s="3" t="str">
        <x:v>core.employee_assignments, core.employee_history, core.transfer_requests, pay.employee_salaries, wf.requests</x:v>
      </x:c>
      <x:c r="K37" s="3" t="str">
        <x:v>plans/phase-3-lifecycle-assets-executive.md, backend/src/modules/lifecycle/lifecycle.router.ts, frontend/src/pages/lifecycle/LifecyclePage.tsx, backend/src/modules/workflows/definitions.seed.ts</x:v>
      </x:c>
    </x:row>
    <x:row r="38" ht="51" customHeight="1">
      <x:c r="A38" s="3" t="str">
        <x:v>SOW-037</x:v>
      </x:c>
      <x:c r="B38" s="3" t="n">
        <x:v>37</x:v>
      </x:c>
      <x:c r="C38" s="3" t="str">
        <x:v>Platform-driven approvals and documentation updates.</x:v>
      </x:c>
      <x:c r="D38" s="3" t="str">
        <x:v>Blocked by reviewed defects</x:v>
      </x:c>
      <x:c r="E38" s="3" t="str">
        <x:v>R04, R08, R10, R21, R22, R31</x:v>
      </x:c>
      <x:c r="F38" s="3" t="str">
        <x:v>Employee history schema and generic transfer definition exist.</x:v>
      </x:c>
      <x:c r="G38" s="3" t="str">
        <x:v>Build approved effective-dated transfer mutations, document updates, compensation/role changes and entity payroll continuity.</x:v>
      </x:c>
      <x:c r="H38" s="3" t="str">
        <x:v>LC-05, PAY-16</x:v>
      </x:c>
      <x:c r="I38" s="3" t="str">
        <x:v>L03, D07, D11</x:v>
      </x:c>
      <x:c r="J38" s="3" t="str">
        <x:v>core.employee_assignments, core.employee_history, core.transfer_requests, pay.employee_salaries, wf.requests</x:v>
      </x:c>
      <x:c r="K38" s="3" t="str">
        <x:v>plans/phase-3-lifecycle-assets-executive.md, backend/src/modules/lifecycle/lifecycle.router.ts, frontend/src/pages/lifecycle/LifecyclePage.tsx, backend/src/modules/workflows/definitions.seed.ts</x:v>
      </x:c>
    </x:row>
    <x:row r="39" ht="51" customHeight="1">
      <x:c r="A39" s="3" t="str">
        <x:v>SOW-038</x:v>
      </x:c>
      <x:c r="B39" s="3" t="n">
        <x:v>38</x:v>
      </x:c>
      <x:c r="C39" s="3" t="str">
        <x:v>compensation and role change updates in HRMS.</x:v>
      </x:c>
      <x:c r="D39" s="3" t="str">
        <x:v>Blocked by reviewed defects</x:v>
      </x:c>
      <x:c r="E39" s="3" t="str">
        <x:v>R04, R08, R10, R21, R22, R31</x:v>
      </x:c>
      <x:c r="F39" s="3" t="str">
        <x:v>Employee history schema and generic transfer definition exist.</x:v>
      </x:c>
      <x:c r="G39" s="3" t="str">
        <x:v>Build approved effective-dated transfer mutations, document updates, compensation/role changes and entity payroll continuity.</x:v>
      </x:c>
      <x:c r="H39" s="3" t="str">
        <x:v>LC-05, PAY-16</x:v>
      </x:c>
      <x:c r="I39" s="3" t="str">
        <x:v>P01, L02, L03, D07, D10, D11</x:v>
      </x:c>
      <x:c r="J39" s="3" t="str">
        <x:v>core.employee_assignments, core.employee_history, core.letters, core.probation_reviews, core.transfer_requests, pay.employee_salaries, pay.salary_components, pay.salary_structure_versions, pay.salary_structures, wf.requests</x:v>
      </x:c>
      <x:c r="K39" s="3" t="str">
        <x:v>plans/phase-3-lifecycle-assets-executive.md, backend/src/modules/lifecycle/lifecycle.router.ts, frontend/src/pages/lifecycle/LifecyclePage.tsx, backend/src/modules/workflows/definitions.seed.ts</x:v>
      </x:c>
    </x:row>
    <x:row r="40" ht="51" customHeight="1">
      <x:c r="A40" s="3" t="str">
        <x:v>SOW-040</x:v>
      </x:c>
      <x:c r="B40" s="3" t="n">
        <x:v>40</x:v>
      </x:c>
      <x:c r="C40" s="3" t="str">
        <x:v>• Resignation initiation, tracking, and approval workflows.</x:v>
      </x:c>
      <x:c r="D40" s="3" t="str">
        <x:v>Blocked by reviewed defects</x:v>
      </x:c>
      <x:c r="E40" s="3" t="str">
        <x:v>R14, R15, R16, R17, R19, R39</x:v>
      </x:c>
      <x:c r="F40" s="3" t="str">
        <x:v>Generic resignation definition and asset holdings lookup exist.</x:v>
      </x:c>
      <x:c r="G40" s="3" t="str">
        <x:v>Build ESS resignation, notices, departmental clearances, settlement compute/payment and exit cascade. No full separation API exists.</x:v>
      </x:c>
      <x:c r="H40" s="3" t="str">
        <x:v>LC-06/07, PAY-15</x:v>
      </x:c>
      <x:c r="I40" s="3" t="str">
        <x:v>L04, D11</x:v>
      </x:c>
      <x:c r="J40" s="3" t="str">
        <x:v>ast.assignments, ast.custody_events, core.clearances, core.separations, pay.claims, pay.loan_postings, pay.loans, te.advances, te.wallet_postings</x:v>
      </x:c>
      <x:c r="K40" s="3" t="str">
        <x:v>plans/phase-3-lifecycle-assets-executive.md, backend/src/modules/lifecycle/lifecycle.router.ts, frontend/src/pages/lifecycle/LifecyclePage.tsx, plans/phase-2-payroll-statutory.md, backend/src/api/router.ts, frontend/src/pages/payroll/PayrollPage.tsx</x:v>
      </x:c>
    </x:row>
    <x:row r="41" ht="51" customHeight="1">
      <x:c r="A41" s="3" t="str">
        <x:v>SOW-041</x:v>
      </x:c>
      <x:c r="B41" s="3" t="n">
        <x:v>41</x:v>
      </x:c>
      <x:c r="C41" s="3" t="str">
        <x:v>• Digital clearance process across departments (IT, Admin, Finance)</x:v>
      </x:c>
      <x:c r="D41" s="3" t="str">
        <x:v>Blocked by reviewed defects</x:v>
      </x:c>
      <x:c r="E41" s="3" t="str">
        <x:v>R14, R15, R16, R17, R19, R39</x:v>
      </x:c>
      <x:c r="F41" s="3" t="str">
        <x:v>Generic resignation definition and asset holdings lookup exist.</x:v>
      </x:c>
      <x:c r="G41" s="3" t="str">
        <x:v>Build ESS resignation, notices, departmental clearances, settlement compute/payment and exit cascade. No full separation API exists.</x:v>
      </x:c>
      <x:c r="H41" s="3" t="str">
        <x:v>LC-06/07, PAY-15</x:v>
      </x:c>
      <x:c r="I41" s="3" t="str">
        <x:v>L04, D11</x:v>
      </x:c>
      <x:c r="J41" s="3" t="str">
        <x:v>ast.assignments, ast.custody_events, core.clearances, core.separations, pay.claims, pay.loan_postings, pay.loans, te.advances, te.wallet_postings</x:v>
      </x:c>
      <x:c r="K41" s="3" t="str">
        <x:v>plans/phase-3-lifecycle-assets-executive.md, backend/src/modules/lifecycle/lifecycle.router.ts, frontend/src/pages/lifecycle/LifecyclePage.tsx, plans/phase-2-payroll-statutory.md, backend/src/api/router.ts, frontend/src/pages/payroll/PayrollPage.tsx</x:v>
      </x:c>
    </x:row>
    <x:row r="42" ht="64" customHeight="1">
      <x:c r="A42" s="3" t="str">
        <x:v>SOW-042</x:v>
      </x:c>
      <x:c r="B42" s="3" t="n">
        <x:v>42</x:v>
      </x:c>
      <x:c r="C42" s="3" t="str">
        <x:v>• Final settlement and compliance with statutory requirements.</x:v>
      </x:c>
      <x:c r="D42" s="3" t="str">
        <x:v>Blocked by reviewed defects</x:v>
      </x:c>
      <x:c r="E42" s="3" t="str">
        <x:v>R14, R15, R16, R17, R19, R39</x:v>
      </x:c>
      <x:c r="F42" s="3" t="str">
        <x:v>Generic resignation definition and asset holdings lookup exist.</x:v>
      </x:c>
      <x:c r="G42" s="3" t="str">
        <x:v>Build ESS resignation, notices, departmental clearances, settlement compute/payment and exit cascade. No full separation API exists.</x:v>
      </x:c>
      <x:c r="H42" s="3" t="str">
        <x:v>LC-06/07, PAY-15</x:v>
      </x:c>
      <x:c r="I42" s="3" t="str">
        <x:v>L04, L05, D01, D11</x:v>
      </x:c>
      <x:c r="J42" s="3" t="str">
        <x:v>ast.assignments, ast.custody_events, core.clearances, core.letters, core.separations, lv.ledger, pay.claims, pay.fnf_settlements, pay.loan_postings, pay.loans, pay.payment_obligations, pay.payroll_item_lines, pay.payroll_items, pay.payroll_runs, te.advances, te.wallet_postings</x:v>
      </x:c>
      <x:c r="K42" s="3" t="str">
        <x:v>plans/phase-3-lifecycle-assets-executive.md, backend/src/modules/lifecycle/lifecycle.router.ts, frontend/src/pages/lifecycle/LifecyclePage.tsx, plans/phase-2-payroll-statutory.md, backend/src/api/router.ts, frontend/src/pages/payroll/PayrollPage.tsx</x:v>
      </x:c>
    </x:row>
    <x:row r="43" ht="116" customHeight="1">
      <x:c r="A43" s="3" t="str">
        <x:v>SOW-044</x:v>
      </x:c>
      <x:c r="B43" s="3" t="n">
        <x:v>44</x:v>
      </x:c>
      <x:c r="C43" s="3" t="str">
        <x:v>• Generation of various employee-related letters, including:
 o Experience letters
 o Relieving letters
 o Salary certificates</x:v>
      </x:c>
      <x:c r="D43" s="3" t="str">
        <x:v>Blocked by reviewed defects</x:v>
      </x:c>
      <x:c r="E43" s="3" t="str">
        <x:v>R14, R15, R16, R17, R19, R39</x:v>
      </x:c>
      <x:c r="F43" s="3" t="str">
        <x:v>Experience, relieving and salary-certificate templates plus issuance/archive exist.</x:v>
      </x:c>
      <x:c r="G43" s="3" t="str">
        <x:v>Tie exit letters to paid F&amp;F/clearance. Salary amount is a caller-supplied merge field, not derived from a live salary engine. Accept production templates.</x:v>
      </x:c>
      <x:c r="H43" s="3" t="str">
        <x:v>CORE-09, LC-06, PAY-15</x:v>
      </x:c>
      <x:c r="I43" s="3" t="str">
        <x:v>F04, P04, L05, W03</x:v>
      </x:c>
      <x:c r="J43" s="3" t="str">
        <x:v>core.clearances, core.document_operations, core.documents, core.letter_templates, core.letters, core.policies, core.policy_acknowledgments, core.policy_versions, core.separations, eng.announcements, eng.poll_responses, eng.polls, eng.survey_responses, eng.surveys, lv.ledger, pay.bank_batch_lines, pay.bank_batches, pay.fnf_settlements, pay.gl_accounts, pay.journal_batches, pay.journal_lines, pay.output_artifacts, pay.payment_events, pay.payment_obligations, pay.payroll_item_lines, pay.payroll_items, pay.payroll_runs, wf.event_subscriptions, wf.notification_attempts, wf.notifications</x:v>
      </x:c>
      <x:c r="K43" s="3" t="str">
        <x:v>backend/src/modules/letters/letters.service.ts, frontend/src/pages/letters/LettersPage.tsx, plans/phase-3-lifecycle-assets-executive.md, backend/src/modules/lifecycle/lifecycle.router.ts, frontend/src/pages/lifecycle/LifecyclePage.tsx</x:v>
      </x:c>
    </x:row>
    <x:row r="44" ht="51" customHeight="1">
      <x:c r="A44" s="3" t="str">
        <x:v>SOW-047</x:v>
      </x:c>
      <x:c r="B44" s="3" t="n">
        <x:v>47</x:v>
      </x:c>
      <x:c r="C44" s="3" t="str">
        <x:v>Defining and configuring multiple shift types (fixed, rotational, flexible, night shifts, etc.).</x:v>
      </x:c>
      <x:c r="D44" s="3" t="str">
        <x:v>Requires current end-to-end verification</x:v>
      </x:c>
      <x:c r="E44" s="3" t="str"/>
      <x:c r="F44" s="3" t="str">
        <x:v>Shift CRUD covers clock times, night crossing, sessions, grace and thresholds.</x:v>
      </x:c>
      <x:c r="G44" s="3" t="str">
        <x:v>Prove flexible/rotational shift behaviors and exact production thresholds/schemes; effective-date overlap protection remains an audit finding.</x:v>
      </x:c>
      <x:c r="H44" s="3" t="str">
        <x:v>ATT-04/05</x:v>
      </x:c>
      <x:c r="I44" s="3" t="str">
        <x:v>A02, D05, D07</x:v>
      </x:c>
      <x:c r="J44" s="3" t="str">
        <x:v>att.coverage_targets, att.day_records, att.employee_shifts, att.holidays, att.recompute_queue, att.roster_publications, att.roster_revisions, att.rosters, att.shift_patterns, att.shift_swaps, att.shifts, core.employee_assignments</x:v>
      </x:c>
      <x:c r="K44" s="3" t="str">
        <x:v>backend/src/modules/attendance/attendance-config.router.ts, backend/src/modules/attendance/day-status.service.ts, docs/recon/database-audit-2026-10-07.md</x:v>
      </x:c>
    </x:row>
    <x:row r="45" ht="51" customHeight="1">
      <x:c r="A45" s="3" t="str">
        <x:v>SOW-048</x:v>
      </x:c>
      <x:c r="B45" s="3" t="n">
        <x:v>48</x:v>
      </x:c>
      <x:c r="C45" s="3" t="str">
        <x:v>Platform automated shift scheduling and roster management.</x:v>
      </x:c>
      <x:c r="D45" s="3" t="str">
        <x:v>Requires current end-to-end verification</x:v>
      </x:c>
      <x:c r="E45" s="3" t="str"/>
      <x:c r="F45" s="3" t="str">
        <x:v>Manager roster read/bulk update, employee shift scheme and reminder schedule exist.</x:v>
      </x:c>
      <x:c r="G45" s="3" t="str">
        <x:v>Automated roster generation/rotation is not evidenced; confirm whether manual manager roster plus reminders meets this SOW wording. Complete UAT.</x:v>
      </x:c>
      <x:c r="H45" s="3" t="str">
        <x:v>ATT-04</x:v>
      </x:c>
      <x:c r="I45" s="3" t="str">
        <x:v>A02, D05, D07</x:v>
      </x:c>
      <x:c r="J45" s="3" t="str">
        <x:v>att.coverage_targets, att.day_records, att.employee_shifts, att.holidays, att.recompute_queue, att.roster_publications, att.roster_revisions, att.rosters, att.shift_patterns, att.shift_swaps, att.shifts, core.employee_assignments</x:v>
      </x:c>
      <x:c r="K45" s="3" t="str">
        <x:v>backend/src/modules/attendance/attendance-config.router.ts, backend/src/modules/attendance/day-status.service.ts, backend/src/modules/attendance/roster.service.ts, frontend/src/pages/team/TeamPage.tsx</x:v>
      </x:c>
    </x:row>
    <x:row r="46" ht="64" customHeight="1">
      <x:c r="A46" s="3" t="str">
        <x:v>SOW-049</x:v>
      </x:c>
      <x:c r="B46" s="3" t="n">
        <x:v>49</x:v>
      </x:c>
      <x:c r="C46" s="3" t="str">
        <x:v>Integration with biometric systems.</x:v>
      </x:c>
      <x:c r="D46" s="3" t="str">
        <x:v>Blocked by reviewed defects</x:v>
      </x:c>
      <x:c r="E46" s="3" t="str">
        <x:v>R36</x:v>
      </x:c>
      <x:c r="F46" s="3" t="str">
        <x:v>Swappable Kent interface, mock ingestion, immutable swipe pipeline and device-health UI exist.</x:v>
      </x:c>
      <x:c r="G46" s="3" t="str">
        <x:v>Confirm access protocol; replace MockKentConnector, ingest/reconcile real door swipes, prove lag/backfill/watermarks in production.</x:v>
      </x:c>
      <x:c r="H46" s="3" t="str">
        <x:v>ATT-01/02</x:v>
      </x:c>
      <x:c r="I46" s="3" t="str">
        <x:v>F04, A01, D07</x:v>
      </x:c>
      <x:c r="J46" s="3" t="str">
        <x:v>att.device_watermarks, att.devices, att.ingest_watermarks, att.quarantined_swipes, att.source_receipts, att.swipe_events, core.document_operations, core.documents, core.letter_templates, core.letters, wf.event_subscriptions, wf.notification_attempts, wf.notifications</x:v>
      </x:c>
      <x:c r="K46" s="3" t="str">
        <x:v>backend/src/modules/attendance/kent-connector.ts, backend/src/modules/attendance/kent-sync.job.ts, plans/phase-0-foundations.md</x:v>
      </x:c>
    </x:row>
    <x:row r="47" ht="64" customHeight="1">
      <x:c r="A47" s="3" t="str">
        <x:v>SOW-051</x:v>
      </x:c>
      <x:c r="B47" s="3" t="n">
        <x:v>51</x:v>
      </x:c>
      <x:c r="C47" s="3" t="str">
        <x:v>management of real-time biometric attendance integration in system.</x:v>
      </x:c>
      <x:c r="D47" s="3" t="str">
        <x:v>Blocked by reviewed defects</x:v>
      </x:c>
      <x:c r="E47" s="3" t="str">
        <x:v>R36</x:v>
      </x:c>
      <x:c r="F47" s="3" t="str">
        <x:v>Swappable Kent interface, mock ingestion, immutable swipe pipeline and device-health UI exist.</x:v>
      </x:c>
      <x:c r="G47" s="3" t="str">
        <x:v>Confirm access protocol; replace MockKentConnector, ingest/reconcile real door swipes, prove lag/backfill/watermarks in production.</x:v>
      </x:c>
      <x:c r="H47" s="3" t="str">
        <x:v>ATT-01/02</x:v>
      </x:c>
      <x:c r="I47" s="3" t="str">
        <x:v>F04, A01, D07</x:v>
      </x:c>
      <x:c r="J47" s="3" t="str">
        <x:v>att.device_watermarks, att.devices, att.ingest_watermarks, att.quarantined_swipes, att.source_receipts, att.swipe_events, core.document_operations, core.documents, core.letter_templates, core.letters, wf.event_subscriptions, wf.notification_attempts, wf.notifications</x:v>
      </x:c>
      <x:c r="K47" s="3" t="str">
        <x:v>backend/src/modules/attendance/kent-connector.ts, backend/src/modules/attendance/kent-sync.job.ts, plans/phase-0-foundations.md</x:v>
      </x:c>
    </x:row>
    <x:row r="48" ht="64" customHeight="1">
      <x:c r="A48" s="3" t="str">
        <x:v>SOW-052</x:v>
      </x:c>
      <x:c r="B48" s="3" t="n">
        <x:v>52</x:v>
      </x:c>
      <x:c r="C48" s="3" t="str">
        <x:v>integration with access control systems for seamless tracking.</x:v>
      </x:c>
      <x:c r="D48" s="3" t="str">
        <x:v>Blocked by reviewed defects</x:v>
      </x:c>
      <x:c r="E48" s="3" t="str">
        <x:v>R36</x:v>
      </x:c>
      <x:c r="F48" s="3" t="str">
        <x:v>Swappable Kent interface, mock ingestion, immutable swipe pipeline and device-health UI exist.</x:v>
      </x:c>
      <x:c r="G48" s="3" t="str">
        <x:v>Confirm access protocol; replace MockKentConnector, ingest/reconcile real door swipes, prove lag/backfill/watermarks in production.</x:v>
      </x:c>
      <x:c r="H48" s="3" t="str">
        <x:v>ATT-01/02</x:v>
      </x:c>
      <x:c r="I48" s="3" t="str">
        <x:v>F04, A01, D07</x:v>
      </x:c>
      <x:c r="J48" s="3" t="str">
        <x:v>att.device_watermarks, att.devices, att.ingest_watermarks, att.quarantined_swipes, att.source_receipts, att.swipe_events, core.document_operations, core.documents, core.letter_templates, core.letters, wf.event_subscriptions, wf.notification_attempts, wf.notifications</x:v>
      </x:c>
      <x:c r="K48" s="3" t="str">
        <x:v>backend/src/modules/attendance/kent-connector.ts, backend/src/modules/attendance/kent-sync.job.ts, plans/phase-0-foundations.md</x:v>
      </x:c>
    </x:row>
    <x:row r="49" ht="77" customHeight="1">
      <x:c r="A49" s="3" t="str">
        <x:v>SOW-053</x:v>
      </x:c>
      <x:c r="B49" s="3" t="n">
        <x:v>53</x:v>
      </x:c>
      <x:c r="C49" s="3" t="str">
        <x:v>Platform automated late coming and early leaving reports.</x:v>
      </x:c>
      <x:c r="D49" s="3" t="str">
        <x:v>Blocked by reviewed defects</x:v>
      </x:c>
      <x:c r="E49" s="3" t="str">
        <x:v>R34, R44, R45</x:v>
      </x:c>
      <x:c r="F49" s="3" t="str">
        <x:v>Late/early calculations, R4 exception table and same-filter Excel export exist.</x:v>
      </x:c>
      <x:c r="G49" s="3" t="str">
        <x:v>Accept production grace/scheme settings and reconcile with real Kent data in G1 UAT.</x:v>
      </x:c>
      <x:c r="H49" s="3" t="str">
        <x:v>ATT-05, RPT-06</x:v>
      </x:c>
      <x:c r="I49" s="3" t="str">
        <x:v>A02, W04, D05</x:v>
      </x:c>
      <x:c r="J49" s="3" t="str">
        <x:v>att.coverage_targets, att.day_records, att.employee_shifts, att.holidays, att.recompute_queue, att.roster_publications, att.roster_revisions, att.rosters, att.shift_patterns, att.shift_swaps, att.shifts, core.employee_assignments, pay.payroll_item_lines, pay.payroll_items, pay.source_consumptions, reporting.kpi_daily, reporting.muster_month, reporting.snapshot_builds</x:v>
      </x:c>
      <x:c r="K49" s="3" t="str">
        <x:v>backend/src/modules/reports/reports.service.ts, backend/src/modules/reports/reports-export.service.ts, backend/tests/stage17-supporting-reports.integration.test.ts, backend/src/modules/attendance/attendance-config.router.ts, backend/src/modules/attendance/day-status.service.ts</x:v>
      </x:c>
    </x:row>
    <x:row r="50" ht="90" customHeight="1">
      <x:c r="A50" s="3" t="str">
        <x:v>SOW-054</x:v>
      </x:c>
      <x:c r="B50" s="3" t="n">
        <x:v>54</x:v>
      </x:c>
      <x:c r="C50" s="3" t="str">
        <x:v>Platform alerts for absenteeism, regularization requests, and policy violations</x:v>
      </x:c>
      <x:c r="D50" s="3" t="str">
        <x:v>Requires current end-to-end verification</x:v>
      </x:c>
      <x:c r="E50" s="3" t="str"/>
      <x:c r="F50" s="3" t="str">
        <x:v>Absence scanning, regularization workflow, notification queue and scheduler hooks exist.</x:v>
      </x:c>
      <x:c r="G50" s="3" t="str">
        <x:v>Wire delivery consumer/SMTP; prove real employee/manager alerts and resolve production sync gaps.</x:v>
      </x:c>
      <x:c r="H50" s="3" t="str">
        <x:v>ATT-10/11, WF-02</x:v>
      </x:c>
      <x:c r="I50" s="3" t="str">
        <x:v>F04, A05, W03, D04</x:v>
      </x:c>
      <x:c r="J50" s="3" t="str">
        <x:v>att.absence_cases, att.day_records, att.manager_month_approvals, att.month_locks, core.document_operations, core.documents, core.letter_templates, core.letters, core.policies, core.policy_acknowledgments, core.policy_versions, eng.announcements, eng.poll_responses, eng.polls, eng.survey_responses, eng.surveys, reporting.muster_month, reporting.snapshot_builds, wf.event_subscriptions, wf.notification_attempts, wf.notifications</x:v>
      </x:c>
      <x:c r="K50" s="3" t="str">
        <x:v>backend/src/modules/attendance/absence.service.ts, backend/src/modules/attendance/regularization.service.ts, backend/src/modules/notifications/notifications.service.ts, backend/src/jobs/worker.ts</x:v>
      </x:c>
    </x:row>
    <x:row r="51" ht="48" customHeight="1">
      <x:c r="A51" s="3" t="str">
        <x:v>SOW-056</x:v>
      </x:c>
      <x:c r="B51" s="3" t="n">
        <x:v>56</x:v>
      </x:c>
      <x:c r="C51" s="3" t="str">
        <x:v>Configuration of leave types (annual, sick, maternity, casual, etc.).</x:v>
      </x:c>
      <x:c r="D51" s="3" t="str">
        <x:v>Requires current end-to-end verification</x:v>
      </x:c>
      <x:c r="E51" s="3" t="str"/>
      <x:c r="F51" s="3" t="str">
        <x:v>Leave catalog seed and audited create/update API exist.</x:v>
      </x:c>
      <x:c r="G51" s="3" t="str">
        <x:v>Finish HR leave-type configuration UI; current LeaveAdmin page only runs accrual/expiry and shows register pending. Accept policies.</x:v>
      </x:c>
      <x:c r="H51" s="3" t="str">
        <x:v>LV-01</x:v>
      </x:c>
      <x:c r="I51" s="3" t="str">
        <x:v>A04</x:v>
      </x:c>
      <x:c r="J51" s="3" t="str">
        <x:v>lv.applications, lv.credit_allocations, lv.leave_types, lv.ledger, lv.operation_keys, lv.restricted_holidays, lv.rh_selections, pay.payment_obligations</x:v>
      </x:c>
      <x:c r="K51" s="3" t="str">
        <x:v>backend/src/modules/leave/leave.router.ts, backend/src/modules/leave/leave-core.service.ts, backend/tests/stage15-leave.integration.test.ts, frontend/src/pages/leave/LeaveAdminPage.tsx</x:v>
      </x:c>
    </x:row>
    <x:row r="52" ht="51" customHeight="1">
      <x:c r="A52" s="3" t="str">
        <x:v>SOW-057</x:v>
      </x:c>
      <x:c r="B52" s="3" t="n">
        <x:v>57</x:v>
      </x:c>
      <x:c r="C52" s="3" t="str">
        <x:v>holiday calendar configuration by location and department.</x:v>
      </x:c>
      <x:c r="D52" s="3" t="str">
        <x:v>Requires current end-to-end verification</x:v>
      </x:c>
      <x:c r="E52" s="3" t="str"/>
      <x:c r="F52" s="3" t="str">
        <x:v>Location/global holidays CRUD and ESS calendar exist.</x:v>
      </x:c>
      <x:c r="G52" s="3" t="str">
        <x:v>Department-specific holiday configuration in the SOW is not represented by the inspected location-only contract. Resolve scope with HR.</x:v>
      </x:c>
      <x:c r="H52" s="3" t="str">
        <x:v>ATT-13</x:v>
      </x:c>
      <x:c r="I52" s="3" t="str">
        <x:v>A02, D07, D08</x:v>
      </x:c>
      <x:c r="J52" s="3" t="str">
        <x:v>att.coverage_targets, att.day_records, att.employee_shifts, att.holidays, att.recompute_queue, att.roster_publications, att.roster_revisions, att.rosters, att.shift_patterns, att.shift_swaps, att.shifts, core.employee_assignments</x:v>
      </x:c>
      <x:c r="K52" s="3" t="str">
        <x:v>backend/src/modules/attendance/attendance-config.router.ts, backend/src/modules/attendance/day-status.service.ts, docs/01-REQUIREMENTS-PRD.md</x:v>
      </x:c>
    </x:row>
    <x:row r="53" ht="64" customHeight="1">
      <x:c r="A53" s="3" t="str">
        <x:v>SOW-058</x:v>
      </x:c>
      <x:c r="B53" s="3" t="n">
        <x:v>58</x:v>
      </x:c>
      <x:c r="C53" s="3" t="str">
        <x:v>• leave request and approval workflows with multi-level authorizations.</x:v>
      </x:c>
      <x:c r="D53" s="3" t="str">
        <x:v>Blocked by reviewed defects</x:v>
      </x:c>
      <x:c r="E53" s="3" t="str">
        <x:v>R19</x:v>
      </x:c>
      <x:c r="F53" s="3" t="str">
        <x:v>Leave apply/cancel, balance checks, multi-step approvals and ledger/attendance hooks exist.</x:v>
      </x:c>
      <x:c r="G53" s="3" t="str">
        <x:v>G1 HR/manager UAT and production notification delivery remain.</x:v>
      </x:c>
      <x:c r="H53" s="3" t="str">
        <x:v>LV-03/08, WF-01</x:v>
      </x:c>
      <x:c r="I53" s="3" t="str">
        <x:v>A03, A04</x:v>
      </x:c>
      <x:c r="J53" s="3" t="str">
        <x:v>att.overtime_entries, att.regularizations, lv.applications, lv.credit_allocations, lv.leave_types, lv.ledger, lv.operation_keys, lv.restricted_holidays, lv.rh_selections, pay.payment_obligations, wf.definition_versions, wf.definitions, wf.delegations, wf.notifications, wf.request_revisions, wf.request_steps, wf.requests</x:v>
      </x:c>
      <x:c r="K53" s="3" t="str">
        <x:v>backend/src/modules/leave/leave-apply.service.ts, backend/src/modules/leave/workflow-hooks.ts, backend/tests/stage15-leave.integration.test.ts, frontend/src/pages/leave/MyLeavePage.tsx</x:v>
      </x:c>
    </x:row>
    <x:row r="54" ht="48" customHeight="1">
      <x:c r="A54" s="3" t="str">
        <x:v>SOW-059</x:v>
      </x:c>
      <x:c r="B54" s="3" t="n">
        <x:v>59</x:v>
      </x:c>
      <x:c r="C54" s="3" t="str">
        <x:v>Platform automated leave balance tracking and accruals.</x:v>
      </x:c>
      <x:c r="D54" s="3" t="str">
        <x:v>Requires current end-to-end verification</x:v>
      </x:c>
      <x:c r="E54" s="3" t="str"/>
      <x:c r="F54" s="3" t="str">
        <x:v>Immutable ledger balance and idempotent monthly accrual plus scheduler exist.</x:v>
      </x:c>
      <x:c r="G54" s="3" t="str">
        <x:v>Prove recurring production execution with real opening balances; policy settings and G1 acceptance remain.</x:v>
      </x:c>
      <x:c r="H54" s="3" t="str">
        <x:v>LV-02/05</x:v>
      </x:c>
      <x:c r="I54" s="3" t="str">
        <x:v>A04, D02, D11</x:v>
      </x:c>
      <x:c r="J54" s="3" t="str">
        <x:v>lv.applications, lv.credit_allocations, lv.leave_types, lv.ledger, lv.operation_keys, lv.restricted_holidays, lv.rh_selections, pay.payment_obligations</x:v>
      </x:c>
      <x:c r="K54" s="3" t="str">
        <x:v>backend/src/modules/leave/leave.router.ts, backend/src/modules/leave/leave-core.service.ts, backend/tests/stage15-leave.integration.test.ts, backend/src/jobs/worker.ts</x:v>
      </x:c>
    </x:row>
    <x:row r="55" ht="64" customHeight="1">
      <x:c r="A55" s="3" t="str">
        <x:v>SOW-060</x:v>
      </x:c>
      <x:c r="B55" s="3" t="n">
        <x:v>60</x:v>
      </x:c>
      <x:c r="C55" s="3" t="str">
        <x:v>Leave encashment and carry-forward policies</x:v>
      </x:c>
      <x:c r="D55" s="3" t="str">
        <x:v>Blocked by reviewed defects</x:v>
      </x:c>
      <x:c r="E55" s="3" t="str">
        <x:v>R16, R17, R39</x:v>
      </x:c>
      <x:c r="F55" s="3" t="str">
        <x:v>Encashment workflow/debit and carry-forward function exist.</x:v>
      </x:c>
      <x:c r="G55" s="3" t="str">
        <x:v>Build encashment money payout/F&amp;F integration. Wire year-end carry-forward recurring execution; worker does not import that function.</x:v>
      </x:c>
      <x:c r="H55" s="3" t="str">
        <x:v>LV-06, PAY-15</x:v>
      </x:c>
      <x:c r="I55" s="3" t="str">
        <x:v>A04, L05, D06, D11</x:v>
      </x:c>
      <x:c r="J55" s="3" t="str">
        <x:v>core.clearances, core.letters, core.separations, lv.applications, lv.credit_allocations, lv.leave_types, lv.ledger, lv.operation_keys, lv.restricted_holidays, lv.rh_selections, pay.fnf_settlements, pay.payment_obligations, pay.payroll_item_lines, pay.payroll_items, pay.payroll_runs</x:v>
      </x:c>
      <x:c r="K55" s="3" t="str">
        <x:v>backend/src/modules/leave/leave-apply.service.ts, backend/src/modules/leave/leave-core.service.ts, backend/src/jobs/worker.ts, plans/phase-2-payroll-statutory.md, backend/src/api/router.ts, frontend/src/pages/payroll/PayrollPage.tsx</x:v>
      </x:c>
    </x:row>
    <x:row r="56" ht="51" customHeight="1">
      <x:c r="A56" s="3" t="str">
        <x:v>SOW-062</x:v>
      </x:c>
      <x:c r="B56" s="3" t="n">
        <x:v>62</x:v>
      </x:c>
      <x:c r="C56" s="3" t="str">
        <x:v>• overtime tracking based on pre-approved policies.</x:v>
      </x:c>
      <x:c r="D56" s="3" t="str">
        <x:v>Blocked by reviewed defects</x:v>
      </x:c>
      <x:c r="E56" s="3" t="str">
        <x:v>R07</x:v>
      </x:c>
      <x:c r="F56" s="3" t="str">
        <x:v>Detected OT, policy thresholds, manager decision and lapse functions exist.</x:v>
      </x:c>
      <x:c r="G56" s="3" t="str">
        <x:v>Connect real swipes and real manager digest delivery; approve policy/rates and close G1.</x:v>
      </x:c>
      <x:c r="H56" s="3" t="str">
        <x:v>ATT-08</x:v>
      </x:c>
      <x:c r="I56" s="3" t="str">
        <x:v>A03, D04, D06</x:v>
      </x:c>
      <x:c r="J56" s="3" t="str">
        <x:v>att.overtime_entries, att.regularizations, wf.definition_versions, wf.definitions, wf.delegations, wf.notifications, wf.request_revisions, wf.request_steps, wf.requests</x:v>
      </x:c>
      <x:c r="K56" s="3" t="str">
        <x:v>backend/src/modules/attendance/overtime.service.ts, backend/src/modules/notifications/notifications.service.ts, backend/src/jobs/worker.ts</x:v>
      </x:c>
    </x:row>
    <x:row r="57" ht="103" customHeight="1">
      <x:c r="A57" s="3" t="str">
        <x:v>SOW-063</x:v>
      </x:c>
      <x:c r="B57" s="3" t="n">
        <x:v>63</x:v>
      </x:c>
      <x:c r="C57" s="3" t="str">
        <x:v>Platform auto-calculation of compensatory offs and extra working hours.</x:v>
      </x:c>
      <x:c r="D57" s="3" t="str">
        <x:v>Blocked by reviewed defects</x:v>
      </x:c>
      <x:c r="E57" s="3" t="str">
        <x:v>R07</x:v>
      </x:c>
      <x:c r="F57" s="3" t="str">
        <x:v>OT minutes convert to half/full comp-off credits with expiry and no pay-plus-credit duplication.</x:v>
      </x:c>
      <x:c r="G57" s="3" t="str">
        <x:v>Real-feed policy acceptance and G1 UAT remain.</x:v>
      </x:c>
      <x:c r="H57" s="3" t="str">
        <x:v>LV-04, ATT-08</x:v>
      </x:c>
      <x:c r="I57" s="3" t="str">
        <x:v>A02, A03, A04, D05, D06</x:v>
      </x:c>
      <x:c r="J57" s="3" t="str">
        <x:v>att.coverage_targets, att.day_records, att.employee_shifts, att.holidays, att.overtime_entries, att.recompute_queue, att.regularizations, att.roster_publications, att.roster_revisions, att.rosters, att.shift_patterns, att.shift_swaps, att.shifts, core.employee_assignments, lv.applications, lv.credit_allocations, lv.leave_types, lv.ledger, lv.operation_keys, lv.restricted_holidays, lv.rh_selections, pay.payment_obligations, wf.definition_versions, wf.definitions, wf.delegations, wf.notifications, wf.request_revisions, wf.request_steps, wf.requests</x:v>
      </x:c>
      <x:c r="K57" s="3" t="str">
        <x:v>backend/src/modules/leave/leave.router.ts, backend/src/modules/leave/leave-core.service.ts, backend/tests/stage15-leave.integration.test.ts, backend/src/modules/attendance/overtime.service.ts</x:v>
      </x:c>
    </x:row>
    <x:row r="58" ht="51" customHeight="1">
      <x:c r="A58" s="3" t="str">
        <x:v>SOW-064</x:v>
      </x:c>
      <x:c r="B58" s="3" t="n">
        <x:v>64</x:v>
      </x:c>
      <x:c r="C58" s="3" t="str">
        <x:v>approval workflows for overtime requests.</x:v>
      </x:c>
      <x:c r="D58" s="3" t="str">
        <x:v>Blocked by reviewed defects</x:v>
      </x:c>
      <x:c r="E58" s="3" t="str">
        <x:v>R07, R19</x:v>
      </x:c>
      <x:c r="F58" s="3" t="str">
        <x:v>OT approval/rejection/partial-minute decisions, manager UI and deadline lapse exist.</x:v>
      </x:c>
      <x:c r="G58" s="3" t="str">
        <x:v>Prove actual manager notification delivery and production decision timing.</x:v>
      </x:c>
      <x:c r="H58" s="3" t="str">
        <x:v>ATT-08, WF-01</x:v>
      </x:c>
      <x:c r="I58" s="3" t="str">
        <x:v>A03, D04, D06</x:v>
      </x:c>
      <x:c r="J58" s="3" t="str">
        <x:v>att.overtime_entries, att.regularizations, wf.definition_versions, wf.definitions, wf.delegations, wf.notifications, wf.request_revisions, wf.request_steps, wf.requests</x:v>
      </x:c>
      <x:c r="K58" s="3" t="str">
        <x:v>backend/src/modules/attendance/overtime.service.ts, frontend/src/pages/team/OtDecisionsPage.tsx, backend/tests/stage14-requests-overtime.integration.test.ts</x:v>
      </x:c>
    </x:row>
    <x:row r="59" ht="77" customHeight="1">
      <x:c r="A59" s="3" t="str">
        <x:v>SOW-065</x:v>
      </x:c>
      <x:c r="B59" s="3" t="n">
        <x:v>65</x:v>
      </x:c>
      <x:c r="C59" s="3" t="str">
        <x:v>integration with payroll for overtime</x:v>
      </x:c>
      <x:c r="D59" s="3" t="str">
        <x:v>Blocked by reviewed defects</x:v>
      </x:c>
      <x:c r="E59" s="3" t="str">
        <x:v>R07, R09, R10, R11, R12, R13, R33, R34, R45</x:v>
      </x:c>
      <x:c r="F59" s="3" t="str">
        <x:v>Approved OT exists on attendance side.</x:v>
      </x:c>
      <x:c r="G59" s="3" t="str">
        <x:v>Build OT wage calculation, payroll linkage, payout and overtime payslip. R5 payment linkage explicitly deferred.</x:v>
      </x:c>
      <x:c r="H59" s="3" t="str">
        <x:v>ATT-08, PAY-03/05</x:v>
      </x:c>
      <x:c r="I59" s="3" t="str">
        <x:v>A03, P02, D06</x:v>
      </x:c>
      <x:c r="J59" s="3" t="str">
        <x:v>att.month_locks, att.overtime_entries, att.regularizations, pay.arrears, pay.inputs, pay.payment_obligations, pay.payroll_item_lines, pay.payroll_items, pay.payroll_runs, pay.run_input_refs, pay.salary_holds, pay.source_consumptions, wf.definition_versions, wf.definitions, wf.delegations, wf.notifications, wf.request_revisions, wf.request_steps, wf.requests</x:v>
      </x:c>
      <x:c r="K59" s="3" t="str">
        <x:v>plans/phase-2-payroll-statutory.md, backend/src/api/router.ts, frontend/src/pages/payroll/PayrollPage.tsx, plans/phase-1-attendance-leave-workflows.md</x:v>
      </x:c>
    </x:row>
    <x:row r="60" ht="51" customHeight="1">
      <x:c r="A60" s="3" t="str">
        <x:v>SOW-067</x:v>
      </x:c>
      <x:c r="B60" s="3" t="n">
        <x:v>67</x:v>
      </x:c>
      <x:c r="C60" s="3" t="str">
        <x:v>enforcement of attendance policies (minimum working hours, grace period, break time tracking).</x:v>
      </x:c>
      <x:c r="D60" s="3" t="str">
        <x:v>Requires current end-to-end verification</x:v>
      </x:c>
      <x:c r="E60" s="3" t="str"/>
      <x:c r="F60" s="3" t="str">
        <x:v>Configured working-hour/grace/break deduction and session/day computation exist.</x:v>
      </x:c>
      <x:c r="G60" s="3" t="str">
        <x:v>Confirm production session thresholds and break interpretation; reconcile real feed and watermark behavior. No per-break punch accounting is evidenced.</x:v>
      </x:c>
      <x:c r="H60" s="3" t="str">
        <x:v>ATT-05/18</x:v>
      </x:c>
      <x:c r="I60" s="3" t="str">
        <x:v>A02, D05</x:v>
      </x:c>
      <x:c r="J60" s="3" t="str">
        <x:v>att.coverage_targets, att.day_records, att.employee_shifts, att.holidays, att.recompute_queue, att.roster_publications, att.roster_revisions, att.rosters, att.shift_patterns, att.shift_swaps, att.shifts, core.employee_assignments</x:v>
      </x:c>
      <x:c r="K60" s="3" t="str">
        <x:v>backend/src/modules/attendance/attendance-config.router.ts, backend/src/modules/attendance/day-status.service.ts, docs/recon/greythr-attendance-and-access-2026-10-07.md</x:v>
      </x:c>
    </x:row>
    <x:row r="61" ht="90" customHeight="1">
      <x:c r="A61" s="3" t="str">
        <x:v>SOW-068</x:v>
      </x:c>
      <x:c r="B61" s="3" t="n">
        <x:v>68</x:v>
      </x:c>
      <x:c r="C61" s="3" t="str">
        <x:v>Platform automated deductions and penalties for attendance violations.</x:v>
      </x:c>
      <x:c r="D61" s="3" t="str">
        <x:v>Blocked by reviewed defects</x:v>
      </x:c>
      <x:c r="E61" s="3" t="str">
        <x:v>R03, R04, R06, R07, R09, R10, R11, R12, R13, R29, R39, R42, R44</x:v>
      </x:c>
      <x:c r="F61" s="3" t="str">
        <x:v>Late/early minutes, absence and week-off eligibility are computed.</x:v>
      </x:c>
      <x:c r="G61" s="3" t="str">
        <x:v>Define signed penalty-to-pay policy and implement payroll deductions; metrics alone do not deduct salary.</x:v>
      </x:c>
      <x:c r="H61" s="3" t="str">
        <x:v>ATT-05/09, PAY-03/04</x:v>
      </x:c>
      <x:c r="I61" s="3" t="str">
        <x:v>A02, P02, D05, D10</x:v>
      </x:c>
      <x:c r="J61" s="3" t="str">
        <x:v>att.coverage_targets, att.day_records, att.employee_shifts, att.holidays, att.month_locks, att.overtime_entries, att.recompute_queue, att.roster_publications, att.roster_revisions, att.rosters, att.shift_patterns, att.shift_swaps, att.shifts, core.employee_assignments, pay.arrears, pay.inputs, pay.payment_obligations, pay.payroll_item_lines, pay.payroll_items, pay.payroll_runs, pay.run_input_refs, pay.salary_holds, pay.source_consumptions</x:v>
      </x:c>
      <x:c r="K61" s="3" t="str">
        <x:v>backend/src/modules/attendance/attendance-config.router.ts, backend/src/modules/attendance/day-status.service.ts, plans/phase-2-payroll-statutory.md, backend/src/api/router.ts, frontend/src/pages/payroll/PayrollPage.tsx</x:v>
      </x:c>
    </x:row>
    <x:row r="62" ht="64" customHeight="1">
      <x:c r="A62" s="3" t="str">
        <x:v>SOW-069</x:v>
      </x:c>
      <x:c r="B62" s="3" t="n">
        <x:v>69</x:v>
      </x:c>
      <x:c r="C62" s="3" t="str">
        <x:v>Preparation of reports and dashboards for HR and management monitoring.</x:v>
      </x:c>
      <x:c r="D62" s="3" t="str">
        <x:v>Blocked by reviewed defects</x:v>
      </x:c>
      <x:c r="E62" s="3" t="str">
        <x:v>R32, R34, R44, R45</x:v>
      </x:c>
      <x:c r="F62" s="3" t="str">
        <x:v>Muster, attendance reports, HR/BU views and employee leave balances exist.</x:v>
      </x:c>
      <x:c r="G62" s="3" t="str">
        <x:v>Finish permission-scoped company leave register/dashboard; complete cost KPIs and accepted production data. RML source score is blank.</x:v>
      </x:c>
      <x:c r="H62" s="3" t="str">
        <x:v>RPT-01/04/06, LV-07</x:v>
      </x:c>
      <x:c r="I62" s="3" t="str">
        <x:v>A05, W04, D05</x:v>
      </x:c>
      <x:c r="J62" s="3" t="str">
        <x:v>att.absence_cases, att.day_records, att.manager_month_approvals, att.month_locks, core.employee_assignments, core.letters, pay.payroll_item_lines, pay.payroll_items, pay.source_consumptions, reporting.kpi_daily, reporting.muster_month, reporting.snapshot_builds</x:v>
      </x:c>
      <x:c r="K62" s="3" t="str">
        <x:v>frontend/src/pages/leave/LeaveAdminPage.tsx, backend/src/modules/reports/dashboard.service.ts, plans/phase-1-attendance-leave-workflows.md</x:v>
      </x:c>
    </x:row>
    <x:row r="63" ht="77" customHeight="1">
      <x:c r="A63" s="3" t="str">
        <x:v>SOW-072</x:v>
      </x:c>
      <x:c r="B63" s="3" t="n">
        <x:v>72</x:v>
      </x:c>
      <x:c r="C63" s="3" t="str">
        <x:v>Payroll Inputs Collection &amp; Validation: Protiviti manages payroll inputs (new joiners, salary revisions, variable pay, deductions, loss of pay, etc.) in a predefined format.</x:v>
      </x:c>
      <x:c r="D63" s="3" t="str">
        <x:v>Blocked by reviewed defects</x:v>
      </x:c>
      <x:c r="E63" s="3" t="str">
        <x:v>R03, R04, R05, R06, R07, R09, R10, R11, R12, R13, R28, R29, R30, R33, R34, R38, R39, R42, R44, R45</x:v>
      </x:c>
      <x:c r="F63" s="3" t="str">
        <x:v>Attendance/reporting/workflow spine and payroll UI shell exist.</x:v>
      </x:c>
      <x:c r="G63" s="3" t="str">
        <x:v>Build row-specific payroll inputs, declaration tax calculation, compute/review/finalize, output files/registers or OT pay. No end-to-end payroll engine is registered.</x:v>
      </x:c>
      <x:c r="H63" s="3" t="str">
        <x:v>PAY-03/04/05/06/09..13</x:v>
      </x:c>
      <x:c r="I63" s="3" t="str">
        <x:v>A05, P02, D11</x:v>
      </x:c>
      <x:c r="J63" s="3" t="str">
        <x:v>att.absence_cases, att.day_records, att.manager_month_approvals, att.month_locks, att.overtime_entries, core.letters, pay.arrears, pay.inputs, pay.payment_obligations, pay.payroll_item_lines, pay.payroll_items, pay.payroll_runs, pay.run_input_refs, pay.salary_holds, pay.source_consumptions, reporting.muster_month, reporting.snapshot_builds</x:v>
      </x:c>
      <x:c r="K63" s="3" t="str">
        <x:v>plans/phase-2-payroll-statutory.md, backend/src/api/router.ts, frontend/src/pages/payroll/PayrollPage.tsx</x:v>
      </x:c>
    </x:row>
    <x:row r="64" ht="90" customHeight="1">
      <x:c r="A64" s="3" t="str">
        <x:v>SOW-073</x:v>
      </x:c>
      <x:c r="B64" s="3" t="n">
        <x:v>73</x:v>
      </x:c>
      <x:c r="C64" s="3" t="str">
        <x:v>Investment &amp; flexi declarations: Tax computation based on employee declarations via ESS portal</x:v>
      </x:c>
      <x:c r="D64" s="3" t="str">
        <x:v>Blocked by reviewed defects</x:v>
      </x:c>
      <x:c r="E64" s="3" t="str">
        <x:v>R03, R04, R05, R06, R07, R09, R10, R11, R12, R13, R28, R29, R30, R33, R34, R38, R39, R42, R44, R45</x:v>
      </x:c>
      <x:c r="F64" s="3" t="str">
        <x:v>Attendance/reporting/workflow spine and payroll UI shell exist.</x:v>
      </x:c>
      <x:c r="G64" s="3" t="str">
        <x:v>Build row-specific payroll inputs, declaration tax calculation, compute/review/finalize, output files/registers or OT pay. No end-to-end payroll engine is registered.</x:v>
      </x:c>
      <x:c r="H64" s="3" t="str">
        <x:v>PAY-03/04/05/06/09..13</x:v>
      </x:c>
      <x:c r="I64" s="3" t="str">
        <x:v>P03, P06, D01</x:v>
      </x:c>
      <x:c r="J64" s="3" t="str">
        <x:v>core.documents, pay.budget_categories, pay.budgets, pay.claim_bills, pay.claim_entitlements, pay.claim_lines, pay.claim_reservations, pay.claim_types, pay.claims, pay.investment_declarations, pay.it_slabs, pay.output_artifacts, pay.payment_obligations, pay.previous_employer_income, pay.pt_slabs, pay.source_consumptions, pay.statutory_memberships, pay.statutory_postings, pay.statutory_rates, pay.tax_elections, pay.tds_challans</x:v>
      </x:c>
      <x:c r="K64" s="3" t="str">
        <x:v>plans/phase-2-payroll-statutory.md, backend/src/api/router.ts, frontend/src/pages/payroll/PayrollPage.tsx</x:v>
      </x:c>
    </x:row>
    <x:row r="65" ht="64" customHeight="1">
      <x:c r="A65" s="3" t="str">
        <x:v>SOW-074</x:v>
      </x:c>
      <x:c r="B65" s="3" t="n">
        <x:v>74</x:v>
      </x:c>
      <x:c r="C65" s="3" t="str">
        <x:v>• Payroll processing &amp; review:
 o Salary calculations with deductions and allowances.
 o Draft payroll reports for approval.
 o Final payroll processing after client confirmation</x:v>
      </x:c>
      <x:c r="D65" s="3" t="str">
        <x:v>Blocked by reviewed defects</x:v>
      </x:c>
      <x:c r="E65" s="3" t="str">
        <x:v>R03, R04, R05, R06, R07, R09, R10, R11, R12, R13, R28, R29, R30, R33, R34, R38, R39, R42, R44, R45</x:v>
      </x:c>
      <x:c r="F65" s="3" t="str">
        <x:v>Attendance/reporting/workflow spine and payroll UI shell exist.</x:v>
      </x:c>
      <x:c r="G65" s="3" t="str">
        <x:v>Build row-specific payroll inputs, declaration tax calculation, compute/review/finalize, output files/registers or OT pay. No end-to-end payroll engine is registered.</x:v>
      </x:c>
      <x:c r="H65" s="3" t="str">
        <x:v>PAY-03/04/05/06/09..13</x:v>
      </x:c>
      <x:c r="I65" s="3" t="str">
        <x:v>P02, D11</x:v>
      </x:c>
      <x:c r="J65" s="3" t="str">
        <x:v>att.month_locks, att.overtime_entries, pay.arrears, pay.inputs, pay.payment_obligations, pay.payroll_item_lines, pay.payroll_items, pay.payroll_runs, pay.run_input_refs, pay.salary_holds, pay.source_consumptions</x:v>
      </x:c>
      <x:c r="K65" s="3" t="str">
        <x:v>plans/phase-2-payroll-statutory.md, backend/src/api/router.ts, frontend/src/pages/payroll/PayrollPage.tsx</x:v>
      </x:c>
    </x:row>
    <x:row r="66" ht="90" customHeight="1">
      <x:c r="A66" s="3" t="str">
        <x:v>SOW-075</x:v>
      </x:c>
      <x:c r="B66" s="3" t="n">
        <x:v>75</x:v>
      </x:c>
      <x:c r="C66" s="3" t="str">
        <x:v>Performing Payroll deliverables:
 o Final Pay Register.
 o Bank Transfer File.
 o Journal Voucher Report.
 o Payslip &amp; Tax computation slip via ESS.
 o Reimbursement &amp; variance reports.</x:v>
      </x:c>
      <x:c r="D66" s="3" t="str">
        <x:v>Blocked by reviewed defects</x:v>
      </x:c>
      <x:c r="E66" s="3" t="str">
        <x:v>R03, R04, R05, R06, R07, R09, R10, R11, R12, R13, R28, R29, R30, R33, R34, R38, R39, R42, R44, R45</x:v>
      </x:c>
      <x:c r="F66" s="3" t="str">
        <x:v>Attendance/reporting/workflow spine and payroll UI shell exist.</x:v>
      </x:c>
      <x:c r="G66" s="3" t="str">
        <x:v>Build row-specific payroll inputs, declaration tax calculation, compute/review/finalize, output files/registers or OT pay. No end-to-end payroll engine is registered.</x:v>
      </x:c>
      <x:c r="H66" s="3" t="str">
        <x:v>PAY-03/04/05/06/09..13</x:v>
      </x:c>
      <x:c r="I66" s="3" t="str">
        <x:v>P04, W04</x:v>
      </x:c>
      <x:c r="J66" s="3" t="str">
        <x:v>core.documents, core.employee_assignments, pay.bank_batch_lines, pay.bank_batches, pay.gl_accounts, pay.journal_batches, pay.journal_lines, pay.output_artifacts, pay.payment_events, pay.payment_obligations, pay.payroll_item_lines, pay.payroll_items, pay.source_consumptions, reporting.kpi_daily, reporting.muster_month, reporting.snapshot_builds</x:v>
      </x:c>
      <x:c r="K66" s="3" t="str">
        <x:v>plans/phase-2-payroll-statutory.md, backend/src/api/router.ts, frontend/src/pages/payroll/PayrollPage.tsx</x:v>
      </x:c>
    </x:row>
    <x:row r="67" ht="116" customHeight="1">
      <x:c r="A67" s="3" t="str">
        <x:v>SOW-076</x:v>
      </x:c>
      <x:c r="B67" s="3" t="n">
        <x:v>76</x:v>
      </x:c>
      <x:c r="C67" s="3" t="str">
        <x:v>Preparation of standard &amp; customized Reports:
 o Standard: TDS report, PF report, PT report, ESIC report, LWF report, Variance report, CTC report.
 o Customized: Cost Centre, Location, Department-wise reports.</x:v>
      </x:c>
      <x:c r="D67" s="3" t="str">
        <x:v>Blocked by reviewed defects</x:v>
      </x:c>
      <x:c r="E67" s="3" t="str">
        <x:v>R03, R04, R05, R06, R07, R09, R10, R11, R12, R13, R28, R29, R30, R33, R34, R38, R39, R42, R44, R45</x:v>
      </x:c>
      <x:c r="F67" s="3" t="str">
        <x:v>Attendance/reporting/workflow spine and payroll UI shell exist.</x:v>
      </x:c>
      <x:c r="G67" s="3" t="str">
        <x:v>Build row-specific payroll inputs, declaration tax calculation, compute/review/finalize, output files/registers or OT pay. No end-to-end payroll engine is registered.</x:v>
      </x:c>
      <x:c r="H67" s="3" t="str">
        <x:v>PAY-03/04/05/06/09..13</x:v>
      </x:c>
      <x:c r="I67" s="3" t="str">
        <x:v>P03, P04, P07, W04, D01</x:v>
      </x:c>
      <x:c r="J67" s="3" t="str">
        <x:v>core.documents, core.employee_assignments, core.import_batches, pay.arrears, pay.bank_batch_lines, pay.bank_batches, pay.gl_accounts, pay.investment_declarations, pay.it_slabs, pay.journal_batches, pay.journal_lines, pay.output_artifacts, pay.parallel_comparison_lines, pay.parallel_comparisons, pay.payment_events, pay.payment_obligations, pay.payroll_item_lines, pay.payroll_items, pay.payroll_runs, pay.previous_employer_income, pay.pt_slabs, pay.source_consumptions, pay.statutory_memberships, pay.statutory_postings, pay.statutory_rates, pay.tax_elections, pay.tds_challans, reporting.kpi_daily, reporting.muster_month, reporting.snapshot_builds</x:v>
      </x:c>
      <x:c r="K67" s="3" t="str">
        <x:v>plans/phase-2-payroll-statutory.md, backend/src/api/router.ts, frontend/src/pages/payroll/PayrollPage.tsx</x:v>
      </x:c>
    </x:row>
    <x:row r="68" ht="77" customHeight="1">
      <x:c r="A68" s="3" t="str">
        <x:v>SOW-077</x:v>
      </x:c>
      <x:c r="B68" s="3" t="n">
        <x:v>77</x:v>
      </x:c>
      <x:c r="C68" s="3" t="str">
        <x:v>• Calculation of OT(Over Time) charges and cross verifying with the attendance system and validate the OT charge</x:v>
      </x:c>
      <x:c r="D68" s="3" t="str">
        <x:v>Blocked by reviewed defects</x:v>
      </x:c>
      <x:c r="E68" s="3" t="str">
        <x:v>R03, R04, R05, R06, R07, R09, R10, R11, R12, R13, R28, R29, R30, R33, R34, R38, R39, R42, R44, R45</x:v>
      </x:c>
      <x:c r="F68" s="3" t="str">
        <x:v>Attendance/reporting/workflow spine and payroll UI shell exist.</x:v>
      </x:c>
      <x:c r="G68" s="3" t="str">
        <x:v>Build row-specific payroll inputs, declaration tax calculation, compute/review/finalize, output files/registers or OT pay. No end-to-end payroll engine is registered.</x:v>
      </x:c>
      <x:c r="H68" s="3" t="str">
        <x:v>PAY-03/04/05/06/09..13</x:v>
      </x:c>
      <x:c r="I68" s="3" t="str">
        <x:v>A03, P02, D06, D10</x:v>
      </x:c>
      <x:c r="J68" s="3" t="str">
        <x:v>att.month_locks, att.overtime_entries, att.regularizations, pay.arrears, pay.inputs, pay.payment_obligations, pay.payroll_item_lines, pay.payroll_items, pay.payroll_runs, pay.run_input_refs, pay.salary_holds, pay.source_consumptions, wf.definition_versions, wf.definitions, wf.delegations, wf.notifications, wf.request_revisions, wf.request_steps, wf.requests</x:v>
      </x:c>
      <x:c r="K68" s="3" t="str">
        <x:v>plans/phase-2-payroll-statutory.md, backend/src/api/router.ts, frontend/src/pages/payroll/PayrollPage.tsx</x:v>
      </x:c>
    </x:row>
    <x:row r="69" ht="64" customHeight="1">
      <x:c r="A69" s="3" t="str">
        <x:v>SOW-078</x:v>
      </x:c>
      <x:c r="B69" s="3" t="n">
        <x:v>78</x:v>
      </x:c>
      <x:c r="C69" s="3" t="str">
        <x:v>• Protiviti should Handle the payroll Queries</x:v>
      </x:c>
      <x:c r="D69" s="3" t="str">
        <x:v>Requires current end-to-end verification</x:v>
      </x:c>
      <x:c r="E69" s="3" t="str"/>
      <x:c r="F69" s="3" t="str">
        <x:v>Generic helpdesk ticket raise/queue/reply exists.</x:v>
      </x:c>
      <x:c r="G69" s="3" t="str">
        <x:v>Staff payroll support and connect queries to actual payroll data. Vendor query-resolution service completion cannot be inferred from code.</x:v>
      </x:c>
      <x:c r="H69" s="3" t="str">
        <x:v>HD-01</x:v>
      </x:c>
      <x:c r="I69" s="3" t="str">
        <x:v>F04, W02</x:v>
      </x:c>
      <x:c r="J69" s="3" t="str">
        <x:v>core.document_operations, core.documents, core.letter_templates, core.letters, hd.categories, hd.escalation_rules, hd.ticket_events, hd.ticket_messages, hd.tickets, wf.event_subscriptions, wf.notification_attempts, wf.notifications</x:v>
      </x:c>
      <x:c r="K69" s="3" t="str">
        <x:v>backend/src/modules/helpdesk/helpdesk.router.ts, backend/src/modules/helpdesk/helpdesk.service.ts, backend/tests/helpdesk.integration.test.ts, frontend/src/pages/workplace/HelpdeskPage.tsx, plans/phase-2-payroll-statutory.md, backend/src/api/router.ts, frontend/src/pages/payroll/PayrollPage.tsx</x:v>
      </x:c>
    </x:row>
    <x:row r="70" ht="90" customHeight="1">
      <x:c r="A70" s="3" t="str">
        <x:v>SOW-079</x:v>
      </x:c>
      <x:c r="B70" s="3" t="n">
        <x:v>79</x:v>
      </x:c>
      <x:c r="C70" s="3" t="str">
        <x:v>Protiviti should Validate attendance by verifying data or biometric records</x:v>
      </x:c>
      <x:c r="D70" s="3" t="str">
        <x:v>Blocked by reviewed defects</x:v>
      </x:c>
      <x:c r="E70" s="3" t="str">
        <x:v>R09, R10, R11, R12, R13, R36</x:v>
      </x:c>
      <x:c r="F70" s="3" t="str">
        <x:v>Raw-swipe drilldown and reconciliation report exist.</x:v>
      </x:c>
      <x:c r="G70" s="3" t="str">
        <x:v>Replace simulated Kent feed and perform real pre-payroll attendance reconciliation/sign-off.</x:v>
      </x:c>
      <x:c r="H70" s="3" t="str">
        <x:v>ATT-01/02/03, PAY-03</x:v>
      </x:c>
      <x:c r="I70" s="3" t="str">
        <x:v>A01, A02, A05, D05, D07</x:v>
      </x:c>
      <x:c r="J70" s="3" t="str">
        <x:v>att.absence_cases, att.coverage_targets, att.day_records, att.device_watermarks, att.devices, att.employee_shifts, att.holidays, att.ingest_watermarks, att.manager_month_approvals, att.month_locks, att.quarantined_swipes, att.recompute_queue, att.roster_publications, att.roster_revisions, att.rosters, att.shift_patterns, att.shift_swaps, att.shifts, att.source_receipts, att.swipe_events, core.employee_assignments, core.letters, reporting.muster_month, reporting.snapshot_builds</x:v>
      </x:c>
      <x:c r="K70" s="3" t="str">
        <x:v>backend/src/modules/reports/reports.service.ts, backend/src/modules/attendance/kent-sync.job.ts, plans/phase-1-attendance-leave-workflows.md</x:v>
      </x:c>
    </x:row>
    <x:row r="71" ht="77" customHeight="1">
      <x:c r="A71" s="3" t="str">
        <x:v>SOW-081</x:v>
      </x:c>
      <x:c r="B71" s="3" t="n">
        <x:v>81</x:v>
      </x:c>
      <x:c r="C71" s="3" t="str">
        <x:v>• The Protiviti should handle the end-to-end payroll process, from collecting inputs to preparing the final register</x:v>
      </x:c>
      <x:c r="D71" s="3" t="str">
        <x:v>Blocked by reviewed defects</x:v>
      </x:c>
      <x:c r="E71" s="3" t="str">
        <x:v>R03, R04, R05, R06, R07, R09, R10, R11, R12, R13, R28, R29, R30, R33, R34, R38, R39, R42, R44, R45</x:v>
      </x:c>
      <x:c r="F71" s="3" t="str">
        <x:v>Attendance/reporting/workflow spine and payroll UI shell exist.</x:v>
      </x:c>
      <x:c r="G71" s="3" t="str">
        <x:v>Build row-specific payroll inputs, declaration tax calculation, compute/review/finalize, output files/registers or OT pay. No end-to-end payroll engine is registered.</x:v>
      </x:c>
      <x:c r="H71" s="3" t="str">
        <x:v>PAY-03/04/05/06/09..13</x:v>
      </x:c>
      <x:c r="I71" s="3" t="str">
        <x:v>P02, P07</x:v>
      </x:c>
      <x:c r="J71" s="3" t="str">
        <x:v>att.month_locks, att.overtime_entries, core.import_batches, pay.arrears, pay.inputs, pay.output_artifacts, pay.parallel_comparison_lines, pay.parallel_comparisons, pay.payment_obligations, pay.payroll_item_lines, pay.payroll_items, pay.payroll_runs, pay.run_input_refs, pay.salary_holds, pay.source_consumptions, pay.statutory_postings</x:v>
      </x:c>
      <x:c r="K71" s="3" t="str">
        <x:v>plans/phase-2-payroll-statutory.md, backend/src/api/router.ts, frontend/src/pages/payroll/PayrollPage.tsx</x:v>
      </x:c>
    </x:row>
    <x:row r="72" ht="90" customHeight="1">
      <x:c r="A72" s="3" t="str">
        <x:v>SOW-082</x:v>
      </x:c>
      <x:c r="B72" s="3" t="n">
        <x:v>82</x:v>
      </x:c>
      <x:c r="C72" s="3" t="str">
        <x:v>Effective date of salary revision.</x:v>
      </x:c>
      <x:c r="D72" s="3" t="str">
        <x:v>Blocked by reviewed defects</x:v>
      </x:c>
      <x:c r="E72" s="3" t="str">
        <x:v>R04, R08, R10, R22, R31, R40, R41</x:v>
      </x:c>
      <x:c r="F72" s="3" t="str">
        <x:v>Salary history is specified only.</x:v>
      </x:c>
      <x:c r="G72" s="3" t="str">
        <x:v>Build effective-dated revisions, overlap constraint and retro delta computation.</x:v>
      </x:c>
      <x:c r="H72" s="3" t="str">
        <x:v>PAY-16, PAY-01</x:v>
      </x:c>
      <x:c r="I72" s="3" t="str">
        <x:v>P01, P02, L02, L03, D10</x:v>
      </x:c>
      <x:c r="J72" s="3" t="str">
        <x:v>att.month_locks, att.overtime_entries, core.employee_assignments, core.employee_history, core.letters, core.probation_reviews, core.transfer_requests, pay.arrears, pay.employee_salaries, pay.inputs, pay.payment_obligations, pay.payroll_item_lines, pay.payroll_items, pay.payroll_runs, pay.run_input_refs, pay.salary_components, pay.salary_holds, pay.salary_structure_versions, pay.salary_structures, pay.source_consumptions, wf.requests</x:v>
      </x:c>
      <x:c r="K72" s="3" t="str">
        <x:v>plans/phase-2-payroll-statutory.md, backend/src/api/router.ts, frontend/src/pages/payroll/PayrollPage.tsx</x:v>
      </x:c>
    </x:row>
    <x:row r="73" ht="77" customHeight="1">
      <x:c r="A73" s="3" t="str">
        <x:v>SOW-083</x:v>
      </x:c>
      <x:c r="B73" s="3" t="n">
        <x:v>83</x:v>
      </x:c>
      <x:c r="C73" s="3" t="str">
        <x:v>Duplication of Employee Code / Number / ID.</x:v>
      </x:c>
      <x:c r="D73" s="3" t="str">
        <x:v>Blocked by reviewed defects</x:v>
      </x:c>
      <x:c r="E73" s="3" t="str">
        <x:v>R21</x:v>
      </x:c>
      <x:c r="F73" s="3" t="str">
        <x:v>Unique employee ecode, atomic per-company generator and series-checked imports exist.</x:v>
      </x:c>
      <x:c r="G73" s="3" t="str">
        <x:v>Real-source reconciliation and HR review of rejected/duplicate rows remain.</x:v>
      </x:c>
      <x:c r="H73" s="3" t="str">
        <x:v>CORE-02/08</x:v>
      </x:c>
      <x:c r="I73" s="3" t="str">
        <x:v>F02, D09</x:v>
      </x:c>
      <x:c r="J73" s="3" t="str">
        <x:v>core.companies, core.cost_centers, core.departments, core.designations, core.employee_assignments, core.employee_education, core.employee_family, core.employee_history, core.employee_prev_employment, core.employees, core.grades, core.import_batches, core.locations, core.mis_codes, core.org_units, core.plants, core.profile_change_requests, core.reporting_tree, core.source_mappings</x:v>
      </x:c>
      <x:c r="K73" s="3" t="str">
        <x:v>backend/migrations/1751810000000_org-employees.ts, backend/src/modules/employees/employees.router.ts, backend/src/modules/employees/import.service.ts, backend/src/modules/employees/import.schemas.ts, plans/phase-0-foundations.md, backend/tests/employee-import.integration.test.ts</x:v>
      </x:c>
    </x:row>
    <x:row r="74" ht="77" customHeight="1">
      <x:c r="A74" s="3" t="str">
        <x:v>SOW-084</x:v>
      </x:c>
      <x:c r="B74" s="3" t="n">
        <x:v>84</x:v>
      </x:c>
      <x:c r="C74" s="3" t="str">
        <x:v>Whether any employees are minor based on the date of birth.</x:v>
      </x:c>
      <x:c r="D74" s="3" t="str">
        <x:v>Requires current end-to-end verification</x:v>
      </x:c>
      <x:c r="E74" s="3" t="str"/>
      <x:c r="F74" s="3" t="str">
        <x:v>DOB and statutory/bank strings can be stored; identifiers are permission-masked on reads.</x:v>
      </x:c>
      <x:c r="G74" s="3" t="str">
        <x:v>Implement the exact row validation (minor DOB, bank length, IFSC/PAN/Aadhaar format/checksum, duplicate ESIC). Import schema accepts raw strings; source migration lacks these CHECK/UNIQUE rules.</x:v>
      </x:c>
      <x:c r="H74" s="3" t="str">
        <x:v>CORE-07/08</x:v>
      </x:c>
      <x:c r="I74" s="3" t="str">
        <x:v>F02, D09</x:v>
      </x:c>
      <x:c r="J74" s="3" t="str">
        <x:v>core.companies, core.cost_centers, core.departments, core.designations, core.employee_assignments, core.employee_education, core.employee_family, core.employee_history, core.employee_prev_employment, core.employees, core.grades, core.import_batches, core.locations, core.mis_codes, core.org_units, core.plants, core.profile_change_requests, core.reporting_tree, core.source_mappings</x:v>
      </x:c>
      <x:c r="K74" s="3" t="str">
        <x:v>backend/migrations/1751810000000_org-employees.ts, backend/src/modules/employees/employees.router.ts, backend/src/modules/employees/import.schemas.ts</x:v>
      </x:c>
    </x:row>
    <x:row r="75" ht="77" customHeight="1">
      <x:c r="A75" s="3" t="str">
        <x:v>SOW-085</x:v>
      </x:c>
      <x:c r="B75" s="3" t="n">
        <x:v>85</x:v>
      </x:c>
      <x:c r="C75" s="3" t="str">
        <x:v>Length of bank account.</x:v>
      </x:c>
      <x:c r="D75" s="3" t="str">
        <x:v>Requires current end-to-end verification</x:v>
      </x:c>
      <x:c r="E75" s="3" t="str"/>
      <x:c r="F75" s="3" t="str">
        <x:v>DOB and statutory/bank strings can be stored; identifiers are permission-masked on reads.</x:v>
      </x:c>
      <x:c r="G75" s="3" t="str">
        <x:v>Implement the exact row validation (minor DOB, bank length, IFSC/PAN/Aadhaar format/checksum, duplicate ESIC). Import schema accepts raw strings; source migration lacks these CHECK/UNIQUE rules.</x:v>
      </x:c>
      <x:c r="H75" s="3" t="str">
        <x:v>CORE-07/08</x:v>
      </x:c>
      <x:c r="I75" s="3" t="str">
        <x:v>F02, D09</x:v>
      </x:c>
      <x:c r="J75" s="3" t="str">
        <x:v>core.companies, core.cost_centers, core.departments, core.designations, core.employee_assignments, core.employee_education, core.employee_family, core.employee_history, core.employee_prev_employment, core.employees, core.grades, core.import_batches, core.locations, core.mis_codes, core.org_units, core.plants, core.profile_change_requests, core.reporting_tree, core.source_mappings</x:v>
      </x:c>
      <x:c r="K75" s="3" t="str">
        <x:v>backend/migrations/1751810000000_org-employees.ts, backend/src/modules/employees/employees.router.ts, backend/src/modules/employees/import.schemas.ts</x:v>
      </x:c>
    </x:row>
    <x:row r="76" ht="77" customHeight="1">
      <x:c r="A76" s="3" t="str">
        <x:v>SOW-086</x:v>
      </x:c>
      <x:c r="B76" s="3" t="n">
        <x:v>86</x:v>
      </x:c>
      <x:c r="C76" s="3" t="str">
        <x:v>IFSC code.</x:v>
      </x:c>
      <x:c r="D76" s="3" t="str">
        <x:v>Requires current end-to-end verification</x:v>
      </x:c>
      <x:c r="E76" s="3" t="str"/>
      <x:c r="F76" s="3" t="str">
        <x:v>DOB and statutory/bank strings can be stored; identifiers are permission-masked on reads.</x:v>
      </x:c>
      <x:c r="G76" s="3" t="str">
        <x:v>Implement the exact row validation (minor DOB, bank length, IFSC/PAN/Aadhaar format/checksum, duplicate ESIC). Import schema accepts raw strings; source migration lacks these CHECK/UNIQUE rules.</x:v>
      </x:c>
      <x:c r="H76" s="3" t="str">
        <x:v>CORE-07/08</x:v>
      </x:c>
      <x:c r="I76" s="3" t="str">
        <x:v>F02, D09</x:v>
      </x:c>
      <x:c r="J76" s="3" t="str">
        <x:v>core.companies, core.cost_centers, core.departments, core.designations, core.employee_assignments, core.employee_education, core.employee_family, core.employee_history, core.employee_prev_employment, core.employees, core.grades, core.import_batches, core.locations, core.mis_codes, core.org_units, core.plants, core.profile_change_requests, core.reporting_tree, core.source_mappings</x:v>
      </x:c>
      <x:c r="K76" s="3" t="str">
        <x:v>backend/migrations/1751810000000_org-employees.ts, backend/src/modules/employees/employees.router.ts, backend/src/modules/employees/import.schemas.ts</x:v>
      </x:c>
    </x:row>
    <x:row r="77" ht="77" customHeight="1">
      <x:c r="A77" s="3" t="str">
        <x:v>SOW-087</x:v>
      </x:c>
      <x:c r="B77" s="3" t="n">
        <x:v>87</x:v>
      </x:c>
      <x:c r="C77" s="3" t="str">
        <x:v>Permanent Account Number (PAN).</x:v>
      </x:c>
      <x:c r="D77" s="3" t="str">
        <x:v>Requires current end-to-end verification</x:v>
      </x:c>
      <x:c r="E77" s="3" t="str"/>
      <x:c r="F77" s="3" t="str">
        <x:v>DOB and statutory/bank strings can be stored; identifiers are permission-masked on reads.</x:v>
      </x:c>
      <x:c r="G77" s="3" t="str">
        <x:v>Implement the exact row validation (minor DOB, bank length, IFSC/PAN/Aadhaar format/checksum, duplicate ESIC). Import schema accepts raw strings; source migration lacks these CHECK/UNIQUE rules.</x:v>
      </x:c>
      <x:c r="H77" s="3" t="str">
        <x:v>CORE-07/08</x:v>
      </x:c>
      <x:c r="I77" s="3" t="str">
        <x:v>F02, D09</x:v>
      </x:c>
      <x:c r="J77" s="3" t="str">
        <x:v>core.companies, core.cost_centers, core.departments, core.designations, core.employee_assignments, core.employee_education, core.employee_family, core.employee_history, core.employee_prev_employment, core.employees, core.grades, core.import_batches, core.locations, core.mis_codes, core.org_units, core.plants, core.profile_change_requests, core.reporting_tree, core.source_mappings</x:v>
      </x:c>
      <x:c r="K77" s="3" t="str">
        <x:v>backend/migrations/1751810000000_org-employees.ts, backend/src/modules/employees/employees.router.ts, backend/src/modules/employees/import.schemas.ts</x:v>
      </x:c>
    </x:row>
    <x:row r="78" ht="77" customHeight="1">
      <x:c r="A78" s="3" t="str">
        <x:v>SOW-088</x:v>
      </x:c>
      <x:c r="B78" s="3" t="n">
        <x:v>88</x:v>
      </x:c>
      <x:c r="C78" s="3" t="str">
        <x:v>Aadhaar number.</x:v>
      </x:c>
      <x:c r="D78" s="3" t="str">
        <x:v>Requires current end-to-end verification</x:v>
      </x:c>
      <x:c r="E78" s="3" t="str"/>
      <x:c r="F78" s="3" t="str">
        <x:v>DOB and statutory/bank strings can be stored; identifiers are permission-masked on reads.</x:v>
      </x:c>
      <x:c r="G78" s="3" t="str">
        <x:v>Implement the exact row validation (minor DOB, bank length, IFSC/PAN/Aadhaar format/checksum, duplicate ESIC). Import schema accepts raw strings; source migration lacks these CHECK/UNIQUE rules.</x:v>
      </x:c>
      <x:c r="H78" s="3" t="str">
        <x:v>CORE-07/08</x:v>
      </x:c>
      <x:c r="I78" s="3" t="str">
        <x:v>F02, D09</x:v>
      </x:c>
      <x:c r="J78" s="3" t="str">
        <x:v>core.companies, core.cost_centers, core.departments, core.designations, core.employee_assignments, core.employee_education, core.employee_family, core.employee_history, core.employee_prev_employment, core.employees, core.grades, core.import_batches, core.locations, core.mis_codes, core.org_units, core.plants, core.profile_change_requests, core.reporting_tree, core.source_mappings</x:v>
      </x:c>
      <x:c r="K78" s="3" t="str">
        <x:v>backend/migrations/1751810000000_org-employees.ts, backend/src/modules/employees/employees.router.ts, backend/src/modules/employees/import.schemas.ts</x:v>
      </x:c>
    </x:row>
    <x:row r="79" ht="77" customHeight="1">
      <x:c r="A79" s="3" t="str">
        <x:v>SOW-089</x:v>
      </x:c>
      <x:c r="B79" s="3" t="n">
        <x:v>89</x:v>
      </x:c>
      <x:c r="C79" s="3" t="str">
        <x:v>Duplication of ESI number.</x:v>
      </x:c>
      <x:c r="D79" s="3" t="str">
        <x:v>Requires current end-to-end verification</x:v>
      </x:c>
      <x:c r="E79" s="3" t="str"/>
      <x:c r="F79" s="3" t="str">
        <x:v>DOB and statutory/bank strings can be stored; identifiers are permission-masked on reads.</x:v>
      </x:c>
      <x:c r="G79" s="3" t="str">
        <x:v>Implement the exact row validation (minor DOB, bank length, IFSC/PAN/Aadhaar format/checksum, duplicate ESIC). Import schema accepts raw strings; source migration lacks these CHECK/UNIQUE rules.</x:v>
      </x:c>
      <x:c r="H79" s="3" t="str">
        <x:v>CORE-07/08</x:v>
      </x:c>
      <x:c r="I79" s="3" t="str">
        <x:v>F02, D09</x:v>
      </x:c>
      <x:c r="J79" s="3" t="str">
        <x:v>core.companies, core.cost_centers, core.departments, core.designations, core.employee_assignments, core.employee_education, core.employee_family, core.employee_history, core.employee_prev_employment, core.employees, core.grades, core.import_batches, core.locations, core.mis_codes, core.org_units, core.plants, core.profile_change_requests, core.reporting_tree, core.source_mappings</x:v>
      </x:c>
      <x:c r="K79" s="3" t="str">
        <x:v>backend/migrations/1751810000000_org-employees.ts, backend/src/modules/employees/employees.router.ts, backend/src/modules/employees/import.schemas.ts</x:v>
      </x:c>
    </x:row>
    <x:row r="80" ht="48" customHeight="1">
      <x:c r="A80" s="3" t="str">
        <x:v>SOW-090</x:v>
      </x:c>
      <x:c r="B80" s="3" t="n">
        <x:v>90</x:v>
      </x:c>
      <x:c r="C80" s="3" t="str">
        <x:v>Check that the CTC matches with break up shared by the Rashmi Metaliks Limited</x:v>
      </x:c>
      <x:c r="D80" s="3" t="str">
        <x:v>Blocked by reviewed defects</x:v>
      </x:c>
      <x:c r="E80" s="3" t="str">
        <x:v>R40, R41</x:v>
      </x:c>
      <x:c r="F80" s="3" t="str">
        <x:v>Salary structure is a pending Phase-2 item.</x:v>
      </x:c>
      <x:c r="G80" s="3" t="str">
        <x:v>Build CTC-vs-component breakup validation and rejection fixtures.</x:v>
      </x:c>
      <x:c r="H80" s="3" t="str">
        <x:v>CORE-08, PAY-01</x:v>
      </x:c>
      <x:c r="I80" s="3" t="str">
        <x:v>P01, D10</x:v>
      </x:c>
      <x:c r="J80" s="3" t="str">
        <x:v>core.employee_assignments, core.probation_reviews, pay.employee_salaries, pay.salary_components, pay.salary_structure_versions, pay.salary_structures</x:v>
      </x:c>
      <x:c r="K80" s="3" t="str">
        <x:v>plans/phase-2-payroll-statutory.md, backend/src/api/router.ts, frontend/src/pages/payroll/PayrollPage.tsx</x:v>
      </x:c>
    </x:row>
    <x:row r="81" ht="51" customHeight="1">
      <x:c r="A81" s="3" t="str">
        <x:v>SOW-091</x:v>
      </x:c>
      <x:c r="B81" s="3" t="n">
        <x:v>91</x:v>
      </x:c>
      <x:c r="C81" s="3" t="str">
        <x:v>Identification of duplicate inputs.</x:v>
      </x:c>
      <x:c r="D81" s="3" t="str">
        <x:v>Blocked by reviewed defects</x:v>
      </x:c>
      <x:c r="E81" s="3" t="str">
        <x:v>R09, R10, R11, R12, R13</x:v>
      </x:c>
      <x:c r="F81" s="3" t="str">
        <x:v>Employee ecode uniqueness exists; payroll input pipeline does not.</x:v>
      </x:c>
      <x:c r="G81" s="3" t="str">
        <x:v>Add duplicate monthly-variable/input detection keyed to run/employee/component.</x:v>
      </x:c>
      <x:c r="H81" s="3" t="str">
        <x:v>CORE-08, PAY-03</x:v>
      </x:c>
      <x:c r="I81" s="3" t="str">
        <x:v>P02, D11</x:v>
      </x:c>
      <x:c r="J81" s="3" t="str">
        <x:v>att.month_locks, att.overtime_entries, pay.arrears, pay.inputs, pay.payment_obligations, pay.payroll_item_lines, pay.payroll_items, pay.payroll_runs, pay.run_input_refs, pay.salary_holds, pay.source_consumptions</x:v>
      </x:c>
      <x:c r="K81" s="3" t="str">
        <x:v>plans/phase-2-payroll-statutory.md, backend/src/api/router.ts, frontend/src/pages/payroll/PayrollPage.tsx</x:v>
      </x:c>
    </x:row>
    <x:row r="82" ht="77" customHeight="1">
      <x:c r="A82" s="3" t="str">
        <x:v>SOW-092</x:v>
      </x:c>
      <x:c r="B82" s="3" t="n">
        <x:v>92</x:v>
      </x:c>
      <x:c r="C82" s="3" t="str">
        <x:v>Special Character for designation, Department - like" &amp; " , ' ". These are not accepted and would be removed.</x:v>
      </x:c>
      <x:c r="D82" s="3" t="str">
        <x:v>Requires current end-to-end verification</x:v>
      </x:c>
      <x:c r="E82" s="3" t="str"/>
      <x:c r="F82" s="3" t="str">
        <x:v>Department/designation import trims, collapses whitespace and deduplicates case.</x:v>
      </x:c>
      <x:c r="G82" s="3" t="str">
        <x:v>Implement the specified special-character rule or obtain approved replacement. Current normalization does not strip ampersands/quotes.</x:v>
      </x:c>
      <x:c r="H82" s="3" t="str">
        <x:v>CORE-08</x:v>
      </x:c>
      <x:c r="I82" s="3" t="str">
        <x:v>F02, D09</x:v>
      </x:c>
      <x:c r="J82" s="3" t="str">
        <x:v>core.companies, core.cost_centers, core.departments, core.designations, core.employee_assignments, core.employee_education, core.employee_family, core.employee_history, core.employee_prev_employment, core.employees, core.grades, core.import_batches, core.locations, core.mis_codes, core.org_units, core.plants, core.profile_change_requests, core.reporting_tree, core.source_mappings</x:v>
      </x:c>
      <x:c r="K82" s="3" t="str">
        <x:v>backend/src/modules/employees/import.service.ts, backend/src/modules/employees/import.schemas.ts, plans/phase-0-foundations.md</x:v>
      </x:c>
    </x:row>
    <x:row r="83" ht="116" customHeight="1">
      <x:c r="A83" s="3" t="str">
        <x:v>SOW-093</x:v>
      </x:c>
      <x:c r="B83" s="3" t="n">
        <x:v>93</x:v>
      </x:c>
      <x:c r="C83" s="3" t="str">
        <x:v>Check whether an employee is in Active or Inactive statusfor variable inputs.</x:v>
      </x:c>
      <x:c r="D83" s="3" t="str">
        <x:v>Blocked by reviewed defects</x:v>
      </x:c>
      <x:c r="E83" s="3" t="str">
        <x:v>R09, R10, R11, R12, R13</x:v>
      </x:c>
      <x:c r="F83" s="3" t="str">
        <x:v>Directory supports status filters and exited-requires-DOL CHECK.</x:v>
      </x:c>
      <x:c r="G83" s="3" t="str">
        <x:v>Enforce active/exiting eligibility in payroll variable inputs; input API is pending.</x:v>
      </x:c>
      <x:c r="H83" s="3" t="str">
        <x:v>CORE-06, PAY-03</x:v>
      </x:c>
      <x:c r="I83" s="3" t="str">
        <x:v>F02, P02</x:v>
      </x:c>
      <x:c r="J83" s="3" t="str">
        <x:v>att.month_locks, att.overtime_entries, core.companies, core.cost_centers, core.departments, core.designations, core.employee_assignments, core.employee_education, core.employee_family, core.employee_history, core.employee_prev_employment, core.employees, core.grades, core.import_batches, core.locations, core.mis_codes, core.org_units, core.plants, core.profile_change_requests, core.reporting_tree, core.source_mappings, pay.arrears, pay.inputs, pay.payment_obligations, pay.payroll_item_lines, pay.payroll_items, pay.payroll_runs, pay.run_input_refs, pay.salary_holds, pay.source_consumptions</x:v>
      </x:c>
      <x:c r="K83" s="3" t="str">
        <x:v>backend/migrations/1751810000000_org-employees.ts, backend/src/modules/employees/employees.router.ts, plans/phase-2-payroll-statutory.md, backend/src/api/router.ts, frontend/src/pages/payroll/PayrollPage.tsx</x:v>
      </x:c>
    </x:row>
    <x:row r="84" ht="77" customHeight="1">
      <x:c r="A84" s="3" t="str">
        <x:v>SOW-095</x:v>
      </x:c>
      <x:c r="B84" s="3" t="n">
        <x:v>95</x:v>
      </x:c>
      <x:c r="C84" s="3" t="str">
        <x:v>Payroll Input</x:v>
      </x:c>
      <x:c r="D84" s="3" t="str">
        <x:v>Blocked by reviewed defects</x:v>
      </x:c>
      <x:c r="E84" s="3" t="str">
        <x:v>R05, R09, R10, R11, R12, R13, R21, R22, R28, R29, R30, R33, R34, R38, R45</x:v>
      </x:c>
      <x:c r="F84" s="3" t="str">
        <x:v>Entity master exists; payroll/transfer processes do not.</x:v>
      </x:c>
      <x:c r="G84" s="3" t="str">
        <x:v>Build this entity-transfer deliverable: input, draft, observation/review, final register, bank file, payslip/tax or JV/custom reports; prove payroll continuity.</x:v>
      </x:c>
      <x:c r="H84" s="3" t="str">
        <x:v>LC-05, PAY-03/05/13</x:v>
      </x:c>
      <x:c r="I84" s="3" t="str">
        <x:v>A05, P02</x:v>
      </x:c>
      <x:c r="J84" s="3" t="str">
        <x:v>att.absence_cases, att.day_records, att.manager_month_approvals, att.month_locks, att.overtime_entries, core.letters, pay.arrears, pay.inputs, pay.payment_obligations, pay.payroll_item_lines, pay.payroll_items, pay.payroll_runs, pay.run_input_refs, pay.salary_holds, pay.source_consumptions, reporting.muster_month, reporting.snapshot_builds</x:v>
      </x:c>
      <x:c r="K84" s="3" t="str">
        <x:v>plans/phase-3-lifecycle-assets-executive.md, backend/src/modules/lifecycle/lifecycle.router.ts, frontend/src/pages/lifecycle/LifecyclePage.tsx, plans/phase-2-payroll-statutory.md, backend/src/api/router.ts, frontend/src/pages/payroll/PayrollPage.tsx</x:v>
      </x:c>
    </x:row>
    <x:row r="85" ht="51" customHeight="1">
      <x:c r="A85" s="3" t="str">
        <x:v>SOW-096</x:v>
      </x:c>
      <x:c r="B85" s="3" t="n">
        <x:v>96</x:v>
      </x:c>
      <x:c r="C85" s="3" t="str">
        <x:v>Draft Pay sheet</x:v>
      </x:c>
      <x:c r="D85" s="3" t="str">
        <x:v>Blocked by reviewed defects</x:v>
      </x:c>
      <x:c r="E85" s="3" t="str">
        <x:v>R05, R09, R10, R11, R12, R13, R21, R22, R28, R29, R30, R33, R34, R38, R45</x:v>
      </x:c>
      <x:c r="F85" s="3" t="str">
        <x:v>Entity master exists; payroll/transfer processes do not.</x:v>
      </x:c>
      <x:c r="G85" s="3" t="str">
        <x:v>Build this entity-transfer deliverable: input, draft, observation/review, final register, bank file, payslip/tax or JV/custom reports; prove payroll continuity.</x:v>
      </x:c>
      <x:c r="H85" s="3" t="str">
        <x:v>LC-05, PAY-03/05/13</x:v>
      </x:c>
      <x:c r="I85" s="3" t="str">
        <x:v>P02</x:v>
      </x:c>
      <x:c r="J85" s="3" t="str">
        <x:v>att.month_locks, att.overtime_entries, pay.arrears, pay.inputs, pay.payment_obligations, pay.payroll_item_lines, pay.payroll_items, pay.payroll_runs, pay.run_input_refs, pay.salary_holds, pay.source_consumptions</x:v>
      </x:c>
      <x:c r="K85" s="3" t="str">
        <x:v>plans/phase-3-lifecycle-assets-executive.md, backend/src/modules/lifecycle/lifecycle.router.ts, frontend/src/pages/lifecycle/LifecyclePage.tsx, plans/phase-2-payroll-statutory.md, backend/src/api/router.ts, frontend/src/pages/payroll/PayrollPage.tsx</x:v>
      </x:c>
    </x:row>
    <x:row r="86" ht="64" customHeight="1">
      <x:c r="A86" s="3" t="str">
        <x:v>SOW-097</x:v>
      </x:c>
      <x:c r="B86" s="3" t="n">
        <x:v>97</x:v>
      </x:c>
      <x:c r="C86" s="3" t="str">
        <x:v>Observations if any</x:v>
      </x:c>
      <x:c r="D86" s="3" t="str">
        <x:v>Blocked by reviewed defects</x:v>
      </x:c>
      <x:c r="E86" s="3" t="str">
        <x:v>R05, R09, R10, R11, R12, R13, R21, R22, R28, R29, R30, R33, R34, R38, R45</x:v>
      </x:c>
      <x:c r="F86" s="3" t="str">
        <x:v>Entity master exists; payroll/transfer processes do not.</x:v>
      </x:c>
      <x:c r="G86" s="3" t="str">
        <x:v>Build this entity-transfer deliverable: input, draft, observation/review, final register, bank file, payslip/tax or JV/custom reports; prove payroll continuity.</x:v>
      </x:c>
      <x:c r="H86" s="3" t="str">
        <x:v>LC-05, PAY-03/05/13</x:v>
      </x:c>
      <x:c r="I86" s="3" t="str">
        <x:v>P02, W04</x:v>
      </x:c>
      <x:c r="J86" s="3" t="str">
        <x:v>att.month_locks, att.overtime_entries, core.employee_assignments, pay.arrears, pay.inputs, pay.payment_obligations, pay.payroll_item_lines, pay.payroll_items, pay.payroll_runs, pay.run_input_refs, pay.salary_holds, pay.source_consumptions, reporting.kpi_daily, reporting.muster_month, reporting.snapshot_builds</x:v>
      </x:c>
      <x:c r="K86" s="3" t="str">
        <x:v>plans/phase-3-lifecycle-assets-executive.md, backend/src/modules/lifecycle/lifecycle.router.ts, frontend/src/pages/lifecycle/LifecyclePage.tsx, plans/phase-2-payroll-statutory.md, backend/src/api/router.ts, frontend/src/pages/payroll/PayrollPage.tsx</x:v>
      </x:c>
    </x:row>
    <x:row r="87" ht="77" customHeight="1">
      <x:c r="A87" s="3" t="str">
        <x:v>SOW-098</x:v>
      </x:c>
      <x:c r="B87" s="3" t="n">
        <x:v>98</x:v>
      </x:c>
      <x:c r="C87" s="3" t="str">
        <x:v>Finaly pay Register</x:v>
      </x:c>
      <x:c r="D87" s="3" t="str">
        <x:v>Blocked by reviewed defects</x:v>
      </x:c>
      <x:c r="E87" s="3" t="str">
        <x:v>R05, R09, R10, R11, R12, R13, R21, R22, R28, R29, R30, R33, R34, R38, R45</x:v>
      </x:c>
      <x:c r="F87" s="3" t="str">
        <x:v>Entity master exists; payroll/transfer processes do not.</x:v>
      </x:c>
      <x:c r="G87" s="3" t="str">
        <x:v>Build this entity-transfer deliverable: input, draft, observation/review, final register, bank file, payslip/tax or JV/custom reports; prove payroll continuity.</x:v>
      </x:c>
      <x:c r="H87" s="3" t="str">
        <x:v>LC-05, PAY-03/05/13</x:v>
      </x:c>
      <x:c r="I87" s="3" t="str">
        <x:v>P02, P04, D11</x:v>
      </x:c>
      <x:c r="J87" s="3" t="str">
        <x:v>att.month_locks, att.overtime_entries, core.documents, pay.arrears, pay.bank_batch_lines, pay.bank_batches, pay.gl_accounts, pay.inputs, pay.journal_batches, pay.journal_lines, pay.output_artifacts, pay.payment_events, pay.payment_obligations, pay.payroll_item_lines, pay.payroll_items, pay.payroll_runs, pay.run_input_refs, pay.salary_holds, pay.source_consumptions</x:v>
      </x:c>
      <x:c r="K87" s="3" t="str">
        <x:v>plans/phase-3-lifecycle-assets-executive.md, backend/src/modules/lifecycle/lifecycle.router.ts, frontend/src/pages/lifecycle/LifecyclePage.tsx, plans/phase-2-payroll-statutory.md, backend/src/api/router.ts, frontend/src/pages/payroll/PayrollPage.tsx</x:v>
      </x:c>
    </x:row>
    <x:row r="88" ht="51" customHeight="1">
      <x:c r="A88" s="3" t="str">
        <x:v>SOW-099</x:v>
      </x:c>
      <x:c r="B88" s="3" t="n">
        <x:v>99</x:v>
      </x:c>
      <x:c r="C88" s="3" t="str">
        <x:v>Bank Transfer File</x:v>
      </x:c>
      <x:c r="D88" s="3" t="str">
        <x:v>Blocked by reviewed defects</x:v>
      </x:c>
      <x:c r="E88" s="3" t="str">
        <x:v>R05, R09, R10, R11, R12, R13, R21, R22, R28, R29, R30, R33, R34, R38, R45</x:v>
      </x:c>
      <x:c r="F88" s="3" t="str">
        <x:v>Entity master exists; payroll/transfer processes do not.</x:v>
      </x:c>
      <x:c r="G88" s="3" t="str">
        <x:v>Build this entity-transfer deliverable: input, draft, observation/review, final register, bank file, payslip/tax or JV/custom reports; prove payroll continuity.</x:v>
      </x:c>
      <x:c r="H88" s="3" t="str">
        <x:v>LC-05, PAY-03/05/13</x:v>
      </x:c>
      <x:c r="I88" s="3" t="str">
        <x:v>P04</x:v>
      </x:c>
      <x:c r="J88" s="3" t="str">
        <x:v>core.documents, pay.bank_batch_lines, pay.bank_batches, pay.gl_accounts, pay.journal_batches, pay.journal_lines, pay.output_artifacts, pay.payment_events, pay.payment_obligations</x:v>
      </x:c>
      <x:c r="K88" s="3" t="str">
        <x:v>plans/phase-3-lifecycle-assets-executive.md, backend/src/modules/lifecycle/lifecycle.router.ts, frontend/src/pages/lifecycle/LifecyclePage.tsx, plans/phase-2-payroll-statutory.md, backend/src/api/router.ts, frontend/src/pages/payroll/PayrollPage.tsx</x:v>
      </x:c>
    </x:row>
    <x:row r="89" ht="77" customHeight="1">
      <x:c r="A89" s="3" t="str">
        <x:v>SOW-100</x:v>
      </x:c>
      <x:c r="B89" s="3" t="n">
        <x:v>100</x:v>
      </x:c>
      <x:c r="C89" s="3" t="str">
        <x:v>Payslip and Tax planner</x:v>
      </x:c>
      <x:c r="D89" s="3" t="str">
        <x:v>Blocked by reviewed defects</x:v>
      </x:c>
      <x:c r="E89" s="3" t="str">
        <x:v>R05, R09, R10, R11, R12, R13, R21, R22, R28, R29, R30, R33, R34, R38, R45</x:v>
      </x:c>
      <x:c r="F89" s="3" t="str">
        <x:v>Entity master exists; payroll/transfer processes do not.</x:v>
      </x:c>
      <x:c r="G89" s="3" t="str">
        <x:v>Build this entity-transfer deliverable: input, draft, observation/review, final register, bank file, payslip/tax or JV/custom reports; prove payroll continuity.</x:v>
      </x:c>
      <x:c r="H89" s="3" t="str">
        <x:v>LC-05, PAY-03/05/13</x:v>
      </x:c>
      <x:c r="I89" s="3" t="str">
        <x:v>P03, P04</x:v>
      </x:c>
      <x:c r="J89" s="3" t="str">
        <x:v>core.documents, pay.bank_batch_lines, pay.bank_batches, pay.gl_accounts, pay.investment_declarations, pay.it_slabs, pay.journal_batches, pay.journal_lines, pay.output_artifacts, pay.payment_events, pay.payment_obligations, pay.previous_employer_income, pay.pt_slabs, pay.statutory_memberships, pay.statutory_postings, pay.statutory_rates, pay.tax_elections, pay.tds_challans</x:v>
      </x:c>
      <x:c r="K89" s="3" t="str">
        <x:v>plans/phase-3-lifecycle-assets-executive.md, backend/src/modules/lifecycle/lifecycle.router.ts, frontend/src/pages/lifecycle/LifecyclePage.tsx, plans/phase-2-payroll-statutory.md, backend/src/api/router.ts, frontend/src/pages/payroll/PayrollPage.tsx</x:v>
      </x:c>
    </x:row>
    <x:row r="90" ht="77" customHeight="1">
      <x:c r="A90" s="3" t="str">
        <x:v>SOW-101</x:v>
      </x:c>
      <x:c r="B90" s="3" t="n">
        <x:v>101</x:v>
      </x:c>
      <x:c r="C90" s="3" t="str">
        <x:v>JV report, Standard report and Customised Reports</x:v>
      </x:c>
      <x:c r="D90" s="3" t="str">
        <x:v>Blocked by reviewed defects</x:v>
      </x:c>
      <x:c r="E90" s="3" t="str">
        <x:v>R05, R09, R10, R11, R12, R13, R21, R22, R28, R29, R30, R33, R34, R38, R45</x:v>
      </x:c>
      <x:c r="F90" s="3" t="str">
        <x:v>Entity master exists; payroll/transfer processes do not.</x:v>
      </x:c>
      <x:c r="G90" s="3" t="str">
        <x:v>Build this entity-transfer deliverable: input, draft, observation/review, final register, bank file, payslip/tax or JV/custom reports; prove payroll continuity.</x:v>
      </x:c>
      <x:c r="H90" s="3" t="str">
        <x:v>LC-05, PAY-03/05/13</x:v>
      </x:c>
      <x:c r="I90" s="3" t="str">
        <x:v>P04, W04</x:v>
      </x:c>
      <x:c r="J90" s="3" t="str">
        <x:v>core.documents, core.employee_assignments, pay.bank_batch_lines, pay.bank_batches, pay.gl_accounts, pay.journal_batches, pay.journal_lines, pay.output_artifacts, pay.payment_events, pay.payment_obligations, pay.payroll_item_lines, pay.payroll_items, pay.source_consumptions, reporting.kpi_daily, reporting.muster_month, reporting.snapshot_builds</x:v>
      </x:c>
      <x:c r="K90" s="3" t="str">
        <x:v>plans/phase-3-lifecycle-assets-executive.md, backend/src/modules/lifecycle/lifecycle.router.ts, frontend/src/pages/lifecycle/LifecyclePage.tsx, plans/phase-2-payroll-statutory.md, backend/src/api/router.ts, frontend/src/pages/payroll/PayrollPage.tsx</x:v>
      </x:c>
    </x:row>
    <x:row r="91" ht="77" customHeight="1">
      <x:c r="A91" s="3" t="str">
        <x:v>SOW-103</x:v>
      </x:c>
      <x:c r="B91" s="3" t="n">
        <x:v>103</x:v>
      </x:c>
      <x:c r="C91" s="3" t="str">
        <x:v>Mid-month new joiner</x:v>
      </x:c>
      <x:c r="D91" s="3" t="str">
        <x:v>Blocked by reviewed defects</x:v>
      </x:c>
      <x:c r="E91" s="3" t="str">
        <x:v>R03, R04, R06, R07, R08, R09, R10, R22, R29, R31, R39, R42, R44</x:v>
      </x:c>
      <x:c r="F91" s="3" t="str">
        <x:v>Proration/retro methods are specified; only generic money rounding utilities exist.</x:v>
      </x:c>
      <x:c r="G91" s="3" t="str">
        <x:v>Implement row-specific join/leave/LOP/reversal/divisor/legacy arrear behavior using signed settings and hand-computed payroll fixtures.</x:v>
      </x:c>
      <x:c r="H91" s="3" t="str">
        <x:v>PAY-04/16</x:v>
      </x:c>
      <x:c r="I91" s="3" t="str">
        <x:v>P01, P02, D10</x:v>
      </x:c>
      <x:c r="J91" s="3" t="str">
        <x:v>att.month_locks, att.overtime_entries, core.employee_assignments, core.probation_reviews, pay.arrears, pay.employee_salaries, pay.inputs, pay.payment_obligations, pay.payroll_item_lines, pay.payroll_items, pay.payroll_runs, pay.run_input_refs, pay.salary_components, pay.salary_holds, pay.salary_structure_versions, pay.salary_structures, pay.source_consumptions</x:v>
      </x:c>
      <x:c r="K91" s="3" t="str">
        <x:v>plans/phase-2-payroll-statutory.md, backend/src/api/router.ts, frontend/src/pages/payroll/PayrollPage.tsx, docs/04-MODULE-SPECS.md</x:v>
      </x:c>
    </x:row>
    <x:row r="92" ht="103" customHeight="1">
      <x:c r="A92" s="3" t="str">
        <x:v>SOW-104</x:v>
      </x:c>
      <x:c r="B92" s="3" t="n">
        <x:v>104</x:v>
      </x:c>
      <x:c r="C92" s="3" t="str">
        <x:v>Mid-month leaver</x:v>
      </x:c>
      <x:c r="D92" s="3" t="str">
        <x:v>Blocked by reviewed defects</x:v>
      </x:c>
      <x:c r="E92" s="3" t="str">
        <x:v>R03, R04, R06, R07, R08, R09, R10, R22, R29, R31, R39, R42, R44</x:v>
      </x:c>
      <x:c r="F92" s="3" t="str">
        <x:v>Proration/retro methods are specified; only generic money rounding utilities exist.</x:v>
      </x:c>
      <x:c r="G92" s="3" t="str">
        <x:v>Implement row-specific join/leave/LOP/reversal/divisor/legacy arrear behavior using signed settings and hand-computed payroll fixtures.</x:v>
      </x:c>
      <x:c r="H92" s="3" t="str">
        <x:v>PAY-04/16</x:v>
      </x:c>
      <x:c r="I92" s="3" t="str">
        <x:v>P01, P02, L04, L05, D10</x:v>
      </x:c>
      <x:c r="J92" s="3" t="str">
        <x:v>ast.assignments, ast.custody_events, att.month_locks, att.overtime_entries, core.clearances, core.employee_assignments, core.letters, core.probation_reviews, core.separations, lv.ledger, pay.arrears, pay.claims, pay.employee_salaries, pay.fnf_settlements, pay.inputs, pay.loan_postings, pay.loans, pay.payment_obligations, pay.payroll_item_lines, pay.payroll_items, pay.payroll_runs, pay.run_input_refs, pay.salary_components, pay.salary_holds, pay.salary_structure_versions, pay.salary_structures, pay.source_consumptions, te.advances, te.wallet_postings</x:v>
      </x:c>
      <x:c r="K92" s="3" t="str">
        <x:v>plans/phase-2-payroll-statutory.md, backend/src/api/router.ts, frontend/src/pages/payroll/PayrollPage.tsx, docs/04-MODULE-SPECS.md</x:v>
      </x:c>
    </x:row>
    <x:row r="93" ht="103" customHeight="1">
      <x:c r="A93" s="3" t="str">
        <x:v>SOW-105</x:v>
      </x:c>
      <x:c r="B93" s="3" t="n">
        <x:v>105</x:v>
      </x:c>
      <x:c r="C93" s="3" t="str">
        <x:v>Loss of Pay calculations</x:v>
      </x:c>
      <x:c r="D93" s="3" t="str">
        <x:v>Blocked by reviewed defects</x:v>
      </x:c>
      <x:c r="E93" s="3" t="str">
        <x:v>R03, R04, R06, R07, R08, R09, R10, R22, R29, R31, R39, R42, R44</x:v>
      </x:c>
      <x:c r="F93" s="3" t="str">
        <x:v>Proration/retro methods are specified; only generic money rounding utilities exist.</x:v>
      </x:c>
      <x:c r="G93" s="3" t="str">
        <x:v>Implement row-specific join/leave/LOP/reversal/divisor/legacy arrear behavior using signed settings and hand-computed payroll fixtures.</x:v>
      </x:c>
      <x:c r="H93" s="3" t="str">
        <x:v>PAY-04/16</x:v>
      </x:c>
      <x:c r="I93" s="3" t="str">
        <x:v>A02, A05, P02, D05, D10</x:v>
      </x:c>
      <x:c r="J93" s="3" t="str">
        <x:v>att.absence_cases, att.coverage_targets, att.day_records, att.employee_shifts, att.holidays, att.manager_month_approvals, att.month_locks, att.overtime_entries, att.recompute_queue, att.roster_publications, att.roster_revisions, att.rosters, att.shift_patterns, att.shift_swaps, att.shifts, core.employee_assignments, core.letters, pay.arrears, pay.inputs, pay.payment_obligations, pay.payroll_item_lines, pay.payroll_items, pay.payroll_runs, pay.run_input_refs, pay.salary_holds, pay.source_consumptions, reporting.muster_month, reporting.snapshot_builds</x:v>
      </x:c>
      <x:c r="K93" s="3" t="str">
        <x:v>plans/phase-2-payroll-statutory.md, backend/src/api/router.ts, frontend/src/pages/payroll/PayrollPage.tsx, docs/04-MODULE-SPECS.md</x:v>
      </x:c>
    </x:row>
    <x:row r="94" ht="51" customHeight="1">
      <x:c r="A94" s="3" t="str">
        <x:v>SOW-106</x:v>
      </x:c>
      <x:c r="B94" s="3" t="n">
        <x:v>106</x:v>
      </x:c>
      <x:c r="C94" s="3" t="str">
        <x:v>Loss of Pay reversals</x:v>
      </x:c>
      <x:c r="D94" s="3" t="str">
        <x:v>Blocked by reviewed defects</x:v>
      </x:c>
      <x:c r="E94" s="3" t="str">
        <x:v>R03, R04, R06, R07, R08, R09, R10, R22, R29, R31, R39, R42, R44</x:v>
      </x:c>
      <x:c r="F94" s="3" t="str">
        <x:v>Proration/retro methods are specified; only generic money rounding utilities exist.</x:v>
      </x:c>
      <x:c r="G94" s="3" t="str">
        <x:v>Implement row-specific join/leave/LOP/reversal/divisor/legacy arrear behavior using signed settings and hand-computed payroll fixtures.</x:v>
      </x:c>
      <x:c r="H94" s="3" t="str">
        <x:v>PAY-04/16</x:v>
      </x:c>
      <x:c r="I94" s="3" t="str">
        <x:v>P02, D10</x:v>
      </x:c>
      <x:c r="J94" s="3" t="str">
        <x:v>att.month_locks, att.overtime_entries, pay.arrears, pay.inputs, pay.payment_obligations, pay.payroll_item_lines, pay.payroll_items, pay.payroll_runs, pay.run_input_refs, pay.salary_holds, pay.source_consumptions</x:v>
      </x:c>
      <x:c r="K94" s="3" t="str">
        <x:v>plans/phase-2-payroll-statutory.md, backend/src/api/router.ts, frontend/src/pages/payroll/PayrollPage.tsx, docs/04-MODULE-SPECS.md</x:v>
      </x:c>
    </x:row>
    <x:row r="95" ht="90" customHeight="1">
      <x:c r="A95" s="3" t="str">
        <x:v>SOW-107</x:v>
      </x:c>
      <x:c r="B95" s="3" t="n">
        <x:v>107</x:v>
      </x:c>
      <x:c r="C95" s="3" t="str">
        <x:v>Previous month Loss of Pay</x:v>
      </x:c>
      <x:c r="D95" s="3" t="str">
        <x:v>Blocked by reviewed defects</x:v>
      </x:c>
      <x:c r="E95" s="3" t="str">
        <x:v>R03, R04, R06, R07, R08, R09, R10, R22, R29, R31, R39, R42, R44</x:v>
      </x:c>
      <x:c r="F95" s="3" t="str">
        <x:v>Proration/retro methods are specified; only generic money rounding utilities exist.</x:v>
      </x:c>
      <x:c r="G95" s="3" t="str">
        <x:v>Implement row-specific join/leave/LOP/reversal/divisor/legacy arrear behavior using signed settings and hand-computed payroll fixtures.</x:v>
      </x:c>
      <x:c r="H95" s="3" t="str">
        <x:v>PAY-04/16</x:v>
      </x:c>
      <x:c r="I95" s="3" t="str">
        <x:v>A05, P02, P07, D10</x:v>
      </x:c>
      <x:c r="J95" s="3" t="str">
        <x:v>att.absence_cases, att.day_records, att.manager_month_approvals, att.month_locks, att.overtime_entries, core.import_batches, core.letters, pay.arrears, pay.inputs, pay.output_artifacts, pay.parallel_comparison_lines, pay.parallel_comparisons, pay.payment_obligations, pay.payroll_item_lines, pay.payroll_items, pay.payroll_runs, pay.run_input_refs, pay.salary_holds, pay.source_consumptions, pay.statutory_postings, reporting.muster_month, reporting.snapshot_builds</x:v>
      </x:c>
      <x:c r="K95" s="3" t="str">
        <x:v>plans/phase-2-payroll-statutory.md, backend/src/api/router.ts, frontend/src/pages/payroll/PayrollPage.tsx, docs/04-MODULE-SPECS.md</x:v>
      </x:c>
    </x:row>
    <x:row r="96" ht="90" customHeight="1">
      <x:c r="A96" s="3" t="str">
        <x:v>SOW-109</x:v>
      </x:c>
      <x:c r="B96" s="3" t="n">
        <x:v>109</x:v>
      </x:c>
      <x:c r="C96" s="3" t="str">
        <x:v>Actual calendar days in the month</x:v>
      </x:c>
      <x:c r="D96" s="3" t="str">
        <x:v>Blocked by reviewed defects</x:v>
      </x:c>
      <x:c r="E96" s="3" t="str">
        <x:v>R03, R04, R06, R07, R08, R09, R10, R22, R29, R31, R39, R42, R44</x:v>
      </x:c>
      <x:c r="F96" s="3" t="str">
        <x:v>Proration/retro methods are specified; only generic money rounding utilities exist.</x:v>
      </x:c>
      <x:c r="G96" s="3" t="str">
        <x:v>Implement row-specific join/leave/LOP/reversal/divisor/legacy arrear behavior using signed settings and hand-computed payroll fixtures.</x:v>
      </x:c>
      <x:c r="H96" s="3" t="str">
        <x:v>PAY-04/16</x:v>
      </x:c>
      <x:c r="I96" s="3" t="str">
        <x:v>A02, P02, D10</x:v>
      </x:c>
      <x:c r="J96" s="3" t="str">
        <x:v>att.coverage_targets, att.day_records, att.employee_shifts, att.holidays, att.month_locks, att.overtime_entries, att.recompute_queue, att.roster_publications, att.roster_revisions, att.rosters, att.shift_patterns, att.shift_swaps, att.shifts, core.employee_assignments, pay.arrears, pay.inputs, pay.payment_obligations, pay.payroll_item_lines, pay.payroll_items, pay.payroll_runs, pay.run_input_refs, pay.salary_holds, pay.source_consumptions</x:v>
      </x:c>
      <x:c r="K96" s="3" t="str">
        <x:v>plans/phase-2-payroll-statutory.md, backend/src/api/router.ts, frontend/src/pages/payroll/PayrollPage.tsx, docs/04-MODULE-SPECS.md</x:v>
      </x:c>
    </x:row>
    <x:row r="97" ht="90" customHeight="1">
      <x:c r="A97" s="3" t="str">
        <x:v>SOW-110</x:v>
      </x:c>
      <x:c r="B97" s="3" t="n">
        <x:v>110</x:v>
      </x:c>
      <x:c r="C97" s="3" t="str">
        <x:v>Actual calendar days in the month less weekends</x:v>
      </x:c>
      <x:c r="D97" s="3" t="str">
        <x:v>Blocked by reviewed defects</x:v>
      </x:c>
      <x:c r="E97" s="3" t="str">
        <x:v>R03, R04, R06, R07, R08, R09, R10, R22, R29, R31, R39, R42, R44</x:v>
      </x:c>
      <x:c r="F97" s="3" t="str">
        <x:v>Proration/retro methods are specified; only generic money rounding utilities exist.</x:v>
      </x:c>
      <x:c r="G97" s="3" t="str">
        <x:v>Implement row-specific join/leave/LOP/reversal/divisor/legacy arrear behavior using signed settings and hand-computed payroll fixtures.</x:v>
      </x:c>
      <x:c r="H97" s="3" t="str">
        <x:v>PAY-04/16</x:v>
      </x:c>
      <x:c r="I97" s="3" t="str">
        <x:v>A02, P02, D10</x:v>
      </x:c>
      <x:c r="J97" s="3" t="str">
        <x:v>att.coverage_targets, att.day_records, att.employee_shifts, att.holidays, att.month_locks, att.overtime_entries, att.recompute_queue, att.roster_publications, att.roster_revisions, att.rosters, att.shift_patterns, att.shift_swaps, att.shifts, core.employee_assignments, pay.arrears, pay.inputs, pay.payment_obligations, pay.payroll_item_lines, pay.payroll_items, pay.payroll_runs, pay.run_input_refs, pay.salary_holds, pay.source_consumptions</x:v>
      </x:c>
      <x:c r="K97" s="3" t="str">
        <x:v>plans/phase-2-payroll-statutory.md, backend/src/api/router.ts, frontend/src/pages/payroll/PayrollPage.tsx, docs/04-MODULE-SPECS.md</x:v>
      </x:c>
    </x:row>
    <x:row r="98" ht="90" customHeight="1">
      <x:c r="A98" s="3" t="str">
        <x:v>SOW-111</x:v>
      </x:c>
      <x:c r="B98" s="3" t="n">
        <x:v>111</x:v>
      </x:c>
      <x:c r="C98" s="3" t="str">
        <x:v>Fixed days like 30, 31 (this cannot change between months) without decimals.</x:v>
      </x:c>
      <x:c r="D98" s="3" t="str">
        <x:v>Blocked by reviewed defects</x:v>
      </x:c>
      <x:c r="E98" s="3" t="str">
        <x:v>R03, R04, R06, R07, R08, R09, R10, R22, R29, R31, R39, R42, R44</x:v>
      </x:c>
      <x:c r="F98" s="3" t="str">
        <x:v>Proration/retro methods are specified; only generic money rounding utilities exist.</x:v>
      </x:c>
      <x:c r="G98" s="3" t="str">
        <x:v>Implement row-specific join/leave/LOP/reversal/divisor/legacy arrear behavior using signed settings and hand-computed payroll fixtures.</x:v>
      </x:c>
      <x:c r="H98" s="3" t="str">
        <x:v>PAY-04/16</x:v>
      </x:c>
      <x:c r="I98" s="3" t="str">
        <x:v>A02, P02, D10</x:v>
      </x:c>
      <x:c r="J98" s="3" t="str">
        <x:v>att.coverage_targets, att.day_records, att.employee_shifts, att.holidays, att.month_locks, att.overtime_entries, att.recompute_queue, att.roster_publications, att.roster_revisions, att.rosters, att.shift_patterns, att.shift_swaps, att.shifts, core.employee_assignments, pay.arrears, pay.inputs, pay.payment_obligations, pay.payroll_item_lines, pay.payroll_items, pay.payroll_runs, pay.run_input_refs, pay.salary_holds, pay.source_consumptions</x:v>
      </x:c>
      <x:c r="K98" s="3" t="str">
        <x:v>plans/phase-2-payroll-statutory.md, backend/src/api/router.ts, frontend/src/pages/payroll/PayrollPage.tsx, docs/04-MODULE-SPECS.md</x:v>
      </x:c>
    </x:row>
    <x:row r="99" ht="48" customHeight="1">
      <x:c r="A99" s="3" t="str">
        <x:v>SOW-113</x:v>
      </x:c>
      <x:c r="B99" s="3" t="n">
        <x:v>113</x:v>
      </x:c>
      <x:c r="C99" s="3" t="str">
        <x:v>Actual calendar days less alternate weekends</x:v>
      </x:c>
      <x:c r="D99" s="3" t="str">
        <x:v>Scope decision pending</x:v>
      </x:c>
      <x:c r="E99" s="3" t="str">
        <x:v>R03, R04, R06, R07, R09, R29, R39, R42, R44</x:v>
      </x:c>
      <x:c r="F99" s="3" t="str">
        <x:v>Source section heading at row 112 says these proration modes are NOT possible, although each has score 100%.</x:v>
      </x:c>
      <x:c r="G99" s="3" t="str">
        <x:v>Keep as contractual exclusion/ambiguity until HR confirms intended scope. Do not count the historical 100% as a delivered capability.</x:v>
      </x:c>
      <x:c r="H99" s="3" t="str">
        <x:v>PAY-04</x:v>
      </x:c>
      <x:c r="I99" s="3" t="str">
        <x:v>D08</x:v>
      </x:c>
      <x:c r="J99" s="3" t="str"/>
      <x:c r="K99" s="3" t="str">
        <x:v>Documention_ProtiVity/SOW Tracker .xlsx, docs/01-REQUIREMENTS-PRD.md, docs/04-MODULE-SPECS.md</x:v>
      </x:c>
    </x:row>
    <x:row r="100" ht="48" customHeight="1">
      <x:c r="A100" s="3" t="str">
        <x:v>SOW-114</x:v>
      </x:c>
      <x:c r="B100" s="3" t="n">
        <x:v>114</x:v>
      </x:c>
      <x:c r="C100" s="3" t="str">
        <x:v>Actual calendar days less holidays</x:v>
      </x:c>
      <x:c r="D100" s="3" t="str">
        <x:v>Scope decision pending</x:v>
      </x:c>
      <x:c r="E100" s="3" t="str">
        <x:v>R03, R04, R06, R07, R09, R29, R39, R42, R44</x:v>
      </x:c>
      <x:c r="F100" s="3" t="str">
        <x:v>Source section heading at row 112 says these proration modes are NOT possible, although each has score 100%.</x:v>
      </x:c>
      <x:c r="G100" s="3" t="str">
        <x:v>Keep as contractual exclusion/ambiguity until HR confirms intended scope. Do not count the historical 100% as a delivered capability.</x:v>
      </x:c>
      <x:c r="H100" s="3" t="str">
        <x:v>PAY-04</x:v>
      </x:c>
      <x:c r="I100" s="3" t="str">
        <x:v>D08</x:v>
      </x:c>
      <x:c r="J100" s="3" t="str"/>
      <x:c r="K100" s="3" t="str">
        <x:v>Documention_ProtiVity/SOW Tracker .xlsx, docs/01-REQUIREMENTS-PRD.md, docs/04-MODULE-SPECS.md</x:v>
      </x:c>
    </x:row>
    <x:row r="101" ht="48" customHeight="1">
      <x:c r="A101" s="3" t="str">
        <x:v>SOW-115</x:v>
      </x:c>
      <x:c r="B101" s="3" t="n">
        <x:v>115</x:v>
      </x:c>
      <x:c r="C101" s="3" t="str">
        <x:v>Fixed days that vary month on month.</x:v>
      </x:c>
      <x:c r="D101" s="3" t="str">
        <x:v>Scope decision pending</x:v>
      </x:c>
      <x:c r="E101" s="3" t="str">
        <x:v>R03, R04, R06, R07, R09, R29, R39, R42, R44</x:v>
      </x:c>
      <x:c r="F101" s="3" t="str">
        <x:v>Source section heading at row 112 says these proration modes are NOT possible, although each has score 100%.</x:v>
      </x:c>
      <x:c r="G101" s="3" t="str">
        <x:v>Keep as contractual exclusion/ambiguity until HR confirms intended scope. Do not count the historical 100% as a delivered capability.</x:v>
      </x:c>
      <x:c r="H101" s="3" t="str">
        <x:v>PAY-04</x:v>
      </x:c>
      <x:c r="I101" s="3" t="str">
        <x:v>D08</x:v>
      </x:c>
      <x:c r="J101" s="3" t="str"/>
      <x:c r="K101" s="3" t="str">
        <x:v>Documention_ProtiVity/SOW Tracker .xlsx, docs/01-REQUIREMENTS-PRD.md, docs/04-MODULE-SPECS.md</x:v>
      </x:c>
    </x:row>
    <x:row r="102" ht="116" customHeight="1">
      <x:c r="A102" s="3" t="str">
        <x:v>SOW-116</x:v>
      </x:c>
      <x:c r="B102" s="3" t="n">
        <x:v>116</x:v>
      </x:c>
      <x:c r="C102" s="3" t="str">
        <x:v>If the period for which salary is pro rated pertains to the period prior to go live with vendor, then the client would need provide arrear break up component wise to enable vendor to include in the current month payroll.</x:v>
      </x:c>
      <x:c r="D102" s="3" t="str">
        <x:v>Blocked by reviewed defects</x:v>
      </x:c>
      <x:c r="E102" s="3" t="str">
        <x:v>R03, R04, R06, R07, R08, R09, R10, R22, R29, R31, R39, R42, R44</x:v>
      </x:c>
      <x:c r="F102" s="3" t="str">
        <x:v>Proration/retro methods are specified; only generic money rounding utilities exist.</x:v>
      </x:c>
      <x:c r="G102" s="3" t="str">
        <x:v>Implement row-specific join/leave/LOP/reversal/divisor/legacy arrear behavior using signed settings and hand-computed payroll fixtures.</x:v>
      </x:c>
      <x:c r="H102" s="3" t="str">
        <x:v>PAY-04/16</x:v>
      </x:c>
      <x:c r="I102" s="3" t="str">
        <x:v>P01, P02, P03, P07, D10</x:v>
      </x:c>
      <x:c r="J102" s="3" t="str">
        <x:v>att.month_locks, att.overtime_entries, core.employee_assignments, core.import_batches, core.probation_reviews, pay.arrears, pay.employee_salaries, pay.inputs, pay.investment_declarations, pay.it_slabs, pay.output_artifacts, pay.parallel_comparison_lines, pay.parallel_comparisons, pay.payment_obligations, pay.payroll_item_lines, pay.payroll_items, pay.payroll_runs, pay.previous_employer_income, pay.pt_slabs, pay.run_input_refs, pay.salary_components, pay.salary_holds, pay.salary_structure_versions, pay.salary_structures, pay.source_consumptions, pay.statutory_memberships, pay.statutory_postings, pay.statutory_rates, pay.tax_elections, pay.tds_challans</x:v>
      </x:c>
      <x:c r="K102" s="3" t="str">
        <x:v>plans/phase-2-payroll-statutory.md, backend/src/api/router.ts, frontend/src/pages/payroll/PayrollPage.tsx, docs/04-MODULE-SPECS.md</x:v>
      </x:c>
    </x:row>
    <x:row r="103" ht="48" customHeight="1">
      <x:c r="A103" s="3" t="str">
        <x:v>SOW-118</x:v>
      </x:c>
      <x:c r="B103" s="3" t="n">
        <x:v>118</x:v>
      </x:c>
      <x:c r="C103" s="3" t="str">
        <x:v>Vendor would handle the Loan scheduler with the following options:</x:v>
      </x:c>
      <x:c r="D103" s="3" t="str">
        <x:v>Blocked by reviewed defects</x:v>
      </x:c>
      <x:c r="E103" s="3" t="str">
        <x:v>R05, R12, R14, R23, R24, R26, R28, R29, R30, R38</x:v>
      </x:c>
      <x:c r="F103" s="3" t="str">
        <x:v>Loans UI shell and generic loan workflow definition exist.</x:v>
      </x:c>
      <x:c r="G103" s="3" t="str">
        <x:v>Implement schedulers, eligibility, EMI/payroll postings, advances and SBI perquisite valuation as applicable. Import and reconcile legacy SAP balances.</x:v>
      </x:c>
      <x:c r="H103" s="3" t="str">
        <x:v>LN-01/02/03, PAY-13</x:v>
      </x:c>
      <x:c r="I103" s="3" t="str">
        <x:v>P05, D10, D11</x:v>
      </x:c>
      <x:c r="J103" s="3" t="str">
        <x:v>pay.loan_installments, pay.loan_postings, pay.loans, pay.payment_events, pay.payment_obligations, pay.source_consumptions</x:v>
      </x:c>
      <x:c r="K103" s="3" t="str">
        <x:v>plans/phase-2-payroll-statutory.md, backend/src/api/router.ts, frontend/src/pages/payroll/PayrollPage.tsx, frontend/src/pages/payroll/LoansPage.tsx</x:v>
      </x:c>
    </x:row>
    <x:row r="104" ht="48" customHeight="1">
      <x:c r="A104" s="3" t="str">
        <x:v>SOW-119</x:v>
      </x:c>
      <x:c r="B104" s="3" t="n">
        <x:v>119</x:v>
      </x:c>
      <x:c r="C104" s="3" t="str">
        <x:v>Diminishing</x:v>
      </x:c>
      <x:c r="D104" s="3" t="str">
        <x:v>Blocked by reviewed defects</x:v>
      </x:c>
      <x:c r="E104" s="3" t="str">
        <x:v>R05, R12, R14, R23, R24, R26, R28, R29, R30, R38</x:v>
      </x:c>
      <x:c r="F104" s="3" t="str">
        <x:v>Loans UI shell and generic loan workflow definition exist.</x:v>
      </x:c>
      <x:c r="G104" s="3" t="str">
        <x:v>Implement schedulers, eligibility, EMI/payroll postings, advances and SBI perquisite valuation as applicable. Import and reconcile legacy SAP balances.</x:v>
      </x:c>
      <x:c r="H104" s="3" t="str">
        <x:v>LN-01/02/03, PAY-13</x:v>
      </x:c>
      <x:c r="I104" s="3" t="str">
        <x:v>P05, D10</x:v>
      </x:c>
      <x:c r="J104" s="3" t="str">
        <x:v>pay.loan_installments, pay.loan_postings, pay.loans, pay.payment_events, pay.payment_obligations, pay.source_consumptions</x:v>
      </x:c>
      <x:c r="K104" s="3" t="str">
        <x:v>plans/phase-2-payroll-statutory.md, backend/src/api/router.ts, frontend/src/pages/payroll/PayrollPage.tsx, frontend/src/pages/payroll/LoansPage.tsx</x:v>
      </x:c>
    </x:row>
    <x:row r="105" ht="48" customHeight="1">
      <x:c r="A105" s="3" t="str">
        <x:v>SOW-120</x:v>
      </x:c>
      <x:c r="B105" s="3" t="n">
        <x:v>120</x:v>
      </x:c>
      <x:c r="C105" s="3" t="str">
        <x:v>Flat</x:v>
      </x:c>
      <x:c r="D105" s="3" t="str">
        <x:v>Blocked by reviewed defects</x:v>
      </x:c>
      <x:c r="E105" s="3" t="str">
        <x:v>R05, R12, R14, R23, R24, R26, R28, R29, R30, R38</x:v>
      </x:c>
      <x:c r="F105" s="3" t="str">
        <x:v>Loans UI shell and generic loan workflow definition exist.</x:v>
      </x:c>
      <x:c r="G105" s="3" t="str">
        <x:v>Implement schedulers, eligibility, EMI/payroll postings, advances and SBI perquisite valuation as applicable. Import and reconcile legacy SAP balances.</x:v>
      </x:c>
      <x:c r="H105" s="3" t="str">
        <x:v>LN-01/02/03, PAY-13</x:v>
      </x:c>
      <x:c r="I105" s="3" t="str">
        <x:v>P05, D10</x:v>
      </x:c>
      <x:c r="J105" s="3" t="str">
        <x:v>pay.loan_installments, pay.loan_postings, pay.loans, pay.payment_events, pay.payment_obligations, pay.source_consumptions</x:v>
      </x:c>
      <x:c r="K105" s="3" t="str">
        <x:v>plans/phase-2-payroll-statutory.md, backend/src/api/router.ts, frontend/src/pages/payroll/PayrollPage.tsx, frontend/src/pages/payroll/LoansPage.tsx</x:v>
      </x:c>
    </x:row>
    <x:row r="106" ht="48" customHeight="1">
      <x:c r="A106" s="3" t="str">
        <x:v>SOW-121</x:v>
      </x:c>
      <x:c r="B106" s="3" t="n">
        <x:v>121</x:v>
      </x:c>
      <x:c r="C106" s="3" t="str">
        <x:v>Only EMI without Interest</x:v>
      </x:c>
      <x:c r="D106" s="3" t="str">
        <x:v>Blocked by reviewed defects</x:v>
      </x:c>
      <x:c r="E106" s="3" t="str">
        <x:v>R05, R12, R14, R23, R24, R26, R28, R29, R30, R38</x:v>
      </x:c>
      <x:c r="F106" s="3" t="str">
        <x:v>Loans UI shell and generic loan workflow definition exist.</x:v>
      </x:c>
      <x:c r="G106" s="3" t="str">
        <x:v>Implement schedulers, eligibility, EMI/payroll postings, advances and SBI perquisite valuation as applicable. Import and reconcile legacy SAP balances.</x:v>
      </x:c>
      <x:c r="H106" s="3" t="str">
        <x:v>LN-01/02/03, PAY-13</x:v>
      </x:c>
      <x:c r="I106" s="3" t="str">
        <x:v>P05, D10</x:v>
      </x:c>
      <x:c r="J106" s="3" t="str">
        <x:v>pay.loan_installments, pay.loan_postings, pay.loans, pay.payment_events, pay.payment_obligations, pay.source_consumptions</x:v>
      </x:c>
      <x:c r="K106" s="3" t="str">
        <x:v>plans/phase-2-payroll-statutory.md, backend/src/api/router.ts, frontend/src/pages/payroll/PayrollPage.tsx, frontend/src/pages/payroll/LoansPage.tsx</x:v>
      </x:c>
    </x:row>
    <x:row r="107" ht="77" customHeight="1">
      <x:c r="A107" s="3" t="str">
        <x:v>SOW-122</x:v>
      </x:c>
      <x:c r="B107" s="3" t="n">
        <x:v>122</x:v>
      </x:c>
      <x:c r="C107" s="3" t="str">
        <x:v>vendor would calculate perquisites as per SBI lending rates. This is applicable only if the client provides the loan input to be recovered using vendor loan scheduler. If the client is giving the loan recovery amount month on month, then the client should provide the perquisite value.</x:v>
      </x:c>
      <x:c r="D107" s="3" t="str">
        <x:v>Blocked by reviewed defects</x:v>
      </x:c>
      <x:c r="E107" s="3" t="str">
        <x:v>R05, R12, R14, R23, R24, R26, R28, R29, R30, R38</x:v>
      </x:c>
      <x:c r="F107" s="3" t="str">
        <x:v>Loans UI shell and generic loan workflow definition exist.</x:v>
      </x:c>
      <x:c r="G107" s="3" t="str">
        <x:v>Implement schedulers, eligibility, EMI/payroll postings, advances and SBI perquisite valuation as applicable. Import and reconcile legacy SAP balances.</x:v>
      </x:c>
      <x:c r="H107" s="3" t="str">
        <x:v>LN-01/02/03, PAY-13</x:v>
      </x:c>
      <x:c r="I107" s="3" t="str">
        <x:v>P03, P05, D01, D10</x:v>
      </x:c>
      <x:c r="J107" s="3" t="str">
        <x:v>pay.investment_declarations, pay.it_slabs, pay.loan_installments, pay.loan_postings, pay.loans, pay.output_artifacts, pay.payment_events, pay.payment_obligations, pay.previous_employer_income, pay.pt_slabs, pay.source_consumptions, pay.statutory_memberships, pay.statutory_postings, pay.statutory_rates, pay.tax_elections, pay.tds_challans</x:v>
      </x:c>
      <x:c r="K107" s="3" t="str">
        <x:v>plans/phase-2-payroll-statutory.md, backend/src/api/router.ts, frontend/src/pages/payroll/PayrollPage.tsx, frontend/src/pages/payroll/LoansPage.tsx</x:v>
      </x:c>
    </x:row>
    <x:row r="108" ht="90" customHeight="1">
      <x:c r="A108" s="3" t="str">
        <x:v>SOW-123</x:v>
      </x:c>
      <x:c r="B108" s="3" t="n">
        <x:v>123</x:v>
      </x:c>
      <x:c r="C108" s="3" t="str">
        <x:v>In order to claim tax exemption for Home Loan &amp; Interest employees would need to submit relevant proof to claim under Section 24 during end of year process.</x:v>
      </x:c>
      <x:c r="D108" s="3" t="str">
        <x:v>Blocked by reviewed defects</x:v>
      </x:c>
      <x:c r="E108" s="3" t="str">
        <x:v>R05, R28, R29, R30, R38</x:v>
      </x:c>
      <x:c r="F108" s="3" t="str">
        <x:v>Declarations/proof workflow is specified.</x:v>
      </x:c>
      <x:c r="G108" s="3" t="str">
        <x:v>Build home-loan proof capture/verification and tax treatment; no declarations backend exists.</x:v>
      </x:c>
      <x:c r="H108" s="3" t="str">
        <x:v>PAY-13</x:v>
      </x:c>
      <x:c r="I108" s="3" t="str">
        <x:v>P03, P06, D01</x:v>
      </x:c>
      <x:c r="J108" s="3" t="str">
        <x:v>core.documents, pay.budget_categories, pay.budgets, pay.claim_bills, pay.claim_entitlements, pay.claim_lines, pay.claim_reservations, pay.claim_types, pay.claims, pay.investment_declarations, pay.it_slabs, pay.output_artifacts, pay.payment_obligations, pay.previous_employer_income, pay.pt_slabs, pay.source_consumptions, pay.statutory_memberships, pay.statutory_postings, pay.statutory_rates, pay.tax_elections, pay.tds_challans</x:v>
      </x:c>
      <x:c r="K108" s="3" t="str">
        <x:v>plans/phase-2-payroll-statutory.md, backend/src/api/router.ts, frontend/src/pages/payroll/PayrollPage.tsx</x:v>
      </x:c>
    </x:row>
    <x:row r="109" ht="77" customHeight="1">
      <x:c r="A109" s="3" t="str">
        <x:v>SOW-124</x:v>
      </x:c>
      <x:c r="B109" s="3" t="n">
        <x:v>124</x:v>
      </x:c>
      <x:c r="C109" s="3" t="str">
        <x:v>Deductions against Salary advance should be provided as monthly inputs.</x:v>
      </x:c>
      <x:c r="D109" s="3" t="str">
        <x:v>Blocked by reviewed defects</x:v>
      </x:c>
      <x:c r="E109" s="3" t="str">
        <x:v>R05, R12, R14, R23, R24, R26, R28, R29, R30, R38</x:v>
      </x:c>
      <x:c r="F109" s="3" t="str">
        <x:v>Loans UI shell and generic loan workflow definition exist.</x:v>
      </x:c>
      <x:c r="G109" s="3" t="str">
        <x:v>Implement schedulers, eligibility, EMI/payroll postings, advances and SBI perquisite valuation as applicable. Import and reconcile legacy SAP balances.</x:v>
      </x:c>
      <x:c r="H109" s="3" t="str">
        <x:v>LN-01/02/03, PAY-13</x:v>
      </x:c>
      <x:c r="I109" s="3" t="str">
        <x:v>P02, P05, T02, D10</x:v>
      </x:c>
      <x:c r="J109" s="3" t="str">
        <x:v>att.month_locks, att.overtime_entries, pay.arrears, pay.claim_lines, pay.claim_reservations, pay.claims, pay.inputs, pay.loan_installments, pay.loan_postings, pay.loans, pay.payment_events, pay.payment_obligations, pay.payroll_item_lines, pay.payroll_items, pay.payroll_runs, pay.run_input_refs, pay.salary_holds, pay.source_consumptions, te.advances, te.settlement_advances, te.settlements, te.wallet_postings</x:v>
      </x:c>
      <x:c r="K109" s="3" t="str">
        <x:v>plans/phase-2-payroll-statutory.md, backend/src/api/router.ts, frontend/src/pages/payroll/PayrollPage.tsx, frontend/src/pages/payroll/LoansPage.tsx</x:v>
      </x:c>
    </x:row>
    <x:row r="110" ht="51" customHeight="1">
      <x:c r="A110" s="3" t="str">
        <x:v>SOW-125</x:v>
      </x:c>
      <x:c r="B110" s="3" t="n">
        <x:v>125</x:v>
      </x:c>
      <x:c r="C110" s="3" t="str">
        <x:v>Vendor will not liaise with any third parties to deduct or remit loans and advances.</x:v>
      </x:c>
      <x:c r="D110" s="3" t="str">
        <x:v>Manual/service evidence pending</x:v>
      </x:c>
      <x:c r="E110" s="3" t="str"/>
      <x:c r="F110" s="3" t="str">
        <x:v>This is a vendor limitation: no third-party loan liaison.</x:v>
      </x:c>
      <x:c r="G110" s="3" t="str">
        <x:v>Assign Finance/payroll responsibility for any third-party remittance. Not a software feature to mark built.</x:v>
      </x:c>
      <x:c r="H110" s="3" t="str">
        <x:v>SOW-5.5 exclusion</x:v>
      </x:c>
      <x:c r="I110" s="3" t="str">
        <x:v>P05, M01</x:v>
      </x:c>
      <x:c r="J110" s="3" t="str">
        <x:v>cmp.calendar_items, cmp.filing_evidence, cmp.registrations, core.documents, pay.loan_installments, pay.loan_postings, pay.loans, pay.output_artifacts, pay.payment_events, pay.payment_obligations, pay.source_consumptions</x:v>
      </x:c>
      <x:c r="K110" s="3" t="str">
        <x:v>Documention_ProtiVity/SOW Tracker .xlsx, docs/01-REQUIREMENTS-PRD.md</x:v>
      </x:c>
    </x:row>
    <x:row r="111" ht="103" customHeight="1">
      <x:c r="A111" s="3" t="str">
        <x:v>SOW-127</x:v>
      </x:c>
      <x:c r="B111" s="3" t="n">
        <x:v>127</x:v>
      </x:c>
      <x:c r="C111" s="3" t="str">
        <x:v>Throughout the month through Client portal</x:v>
      </x:c>
      <x:c r="D111" s="3" t="str">
        <x:v>Blocked by reviewed defects</x:v>
      </x:c>
      <x:c r="E111" s="3" t="str">
        <x:v>R14, R18, R35, R36, R40</x:v>
      </x:c>
      <x:c r="F111" s="3" t="str">
        <x:v>Employee directory exists; candidate conversion is pending.</x:v>
      </x:c>
      <x:c r="G111" s="3" t="str">
        <x:v>Build approved new-joiner portal intake/conversion and salary availability.</x:v>
      </x:c>
      <x:c r="H111" s="3" t="str">
        <x:v>LC-01/02, PAY-07</x:v>
      </x:c>
      <x:c r="I111" s="3" t="str">
        <x:v>F02, L01, R01</x:v>
      </x:c>
      <x:c r="J111" s="3" t="str">
        <x:v>core.companies, core.cost_centers, core.departments, core.designations, core.documents, core.employee_assignments, core.employee_education, core.employee_family, core.employee_history, core.employee_prev_employment, core.employees, core.grades, core.import_batches, core.locations, core.mis_codes, core.onboarding_candidates, core.onboarding_tasks, core.org_units, core.plants, core.prejoin_invitations, core.profile_change_requests, core.reporting_tree, core.source_mappings, pay.employee_salaries, recruit.candidates, recruit.offers, recruit.vacancies</x:v>
      </x:c>
      <x:c r="K111" s="3" t="str">
        <x:v>plans/phase-3-lifecycle-assets-executive.md, backend/src/modules/lifecycle/lifecycle.router.ts, frontend/src/pages/lifecycle/LifecyclePage.tsx, plans/phase-2-payroll-statutory.md, backend/src/api/router.ts, frontend/src/pages/payroll/PayrollPage.tsx</x:v>
      </x:c>
    </x:row>
    <x:row r="112" ht="103" customHeight="1">
      <x:c r="A112" s="3" t="str">
        <x:v>SOW-128</x:v>
      </x:c>
      <x:c r="B112" s="3" t="n">
        <x:v>128</x:v>
      </x:c>
      <x:c r="C112" s="3" t="str">
        <x:v>As part of monthly input through the excel format</x:v>
      </x:c>
      <x:c r="D112" s="3" t="str">
        <x:v>Blocked by reviewed defects</x:v>
      </x:c>
      <x:c r="E112" s="3" t="str">
        <x:v>R02, R30, R38, R40, R43, R45</x:v>
      </x:c>
      <x:c r="F112" s="3" t="str">
        <x:v>JSON-row EMS seed/greytHR enrich functions and sample fixtures exist.</x:v>
      </x:c>
      <x:c r="G112" s="3" t="str">
        <x:v>Build/reconcile approved Excel monthly-new-joiner intake including payroll/salary data. Generic seed import is not that complete workflow.</x:v>
      </x:c>
      <x:c r="H112" s="3" t="str">
        <x:v>CORE-12, PAY-07</x:v>
      </x:c>
      <x:c r="I112" s="3" t="str">
        <x:v>F02, F04</x:v>
      </x:c>
      <x:c r="J112" s="3" t="str">
        <x:v>core.companies, core.cost_centers, core.departments, core.designations, core.document_operations, core.documents, core.employee_assignments, core.employee_education, core.employee_family, core.employee_history, core.employee_prev_employment, core.employees, core.grades, core.import_batches, core.letter_templates, core.letters, core.locations, core.mis_codes, core.org_units, core.plants, core.profile_change_requests, core.reporting_tree, core.source_mappings, wf.event_subscriptions, wf.notification_attempts, wf.notifications</x:v>
      </x:c>
      <x:c r="K112" s="3" t="str">
        <x:v>backend/src/modules/employees/import.service.ts, backend/src/modules/employees/import.schemas.ts, plans/phase-0-foundations.md, plans/phase-2-payroll-statutory.md, backend/src/api/router.ts, frontend/src/pages/payroll/PayrollPage.tsx</x:v>
      </x:c>
    </x:row>
    <x:row r="113" ht="129" customHeight="1">
      <x:c r="A113" s="3" t="str">
        <x:v>SOW-129</x:v>
      </x:c>
      <x:c r="B113" s="3" t="n">
        <x:v>129</x:v>
      </x:c>
      <x:c r="C113" s="3" t="str">
        <x:v>Through HR connector if integration is in scope</x:v>
      </x:c>
      <x:c r="D113" s="3" t="str">
        <x:v>Blocked by reviewed defects</x:v>
      </x:c>
      <x:c r="E113" s="3" t="str">
        <x:v>R14, R18, R35, R40</x:v>
      </x:c>
      <x:c r="F113" s="3" t="str">
        <x:v>Connector-based ATS handoff is planned.</x:v>
      </x:c>
      <x:c r="G113" s="3" t="str">
        <x:v>Implement agreed HR connector/ATS joined-list sync and mapping.</x:v>
      </x:c>
      <x:c r="H113" s="3" t="str">
        <x:v>LC-01, PAY-07</x:v>
      </x:c>
      <x:c r="I113" s="3" t="str">
        <x:v>F02, F04, L01, R01</x:v>
      </x:c>
      <x:c r="J113" s="3" t="str">
        <x:v>core.companies, core.cost_centers, core.departments, core.designations, core.document_operations, core.documents, core.employee_assignments, core.employee_education, core.employee_family, core.employee_history, core.employee_prev_employment, core.employees, core.grades, core.import_batches, core.letter_templates, core.letters, core.locations, core.mis_codes, core.onboarding_candidates, core.onboarding_tasks, core.org_units, core.plants, core.prejoin_invitations, core.profile_change_requests, core.reporting_tree, core.source_mappings, pay.employee_salaries, recruit.candidates, recruit.offers, recruit.vacancies, wf.event_subscriptions, wf.notification_attempts, wf.notifications</x:v>
      </x:c>
      <x:c r="K113" s="3" t="str">
        <x:v>plans/phase-3-lifecycle-assets-executive.md, backend/src/modules/lifecycle/lifecycle.router.ts, frontend/src/pages/lifecycle/LifecyclePage.tsx, plans/phase-4-ats-absorption.md</x:v>
      </x:c>
    </x:row>
    <x:row r="114" ht="181" customHeight="1">
      <x:c r="A114" s="3" t="str">
        <x:v>SOW-130</x:v>
      </x:c>
      <x:c r="B114" s="3" t="n">
        <x:v>130</x:v>
      </x:c>
      <x:c r="C114" s="3" t="str">
        <x:v>New joiner details for the purpose of ESI IP generation need to be provided by the client once in a week. Flexi would be activated for new joiners after the first month payroll is processed.</x:v>
      </x:c>
      <x:c r="D114" s="3" t="str">
        <x:v>Manual/service evidence pending</x:v>
      </x:c>
      <x:c r="E114" s="3" t="str">
        <x:v>R05, R18, R36</x:v>
      </x:c>
      <x:c r="F114" s="3" t="str">
        <x:v>Weekly ESI IP creation and flexi activation timing are vendor operating terms.</x:v>
      </x:c>
      <x:c r="G114" s="3" t="str">
        <x:v>Assign an owner and record weekly submission/portal proof. Any flexi activation feature still needs the pending payroll/benefit implementation.</x:v>
      </x:c>
      <x:c r="H114" s="3" t="str">
        <x:v>PAY-10, LC-02</x:v>
      </x:c>
      <x:c r="I114" s="3" t="str">
        <x:v>F02, P01, P03, P06, L01, D01, D10, M01</x:v>
      </x:c>
      <x:c r="J114" s="3" t="str">
        <x:v>cmp.calendar_items, cmp.filing_evidence, cmp.registrations, core.companies, core.cost_centers, core.departments, core.designations, core.documents, core.employee_assignments, core.employee_education, core.employee_family, core.employee_history, core.employee_prev_employment, core.employees, core.grades, core.import_batches, core.locations, core.mis_codes, core.onboarding_candidates, core.onboarding_tasks, core.org_units, core.plants, core.prejoin_invitations, core.probation_reviews, core.profile_change_requests, core.reporting_tree, core.source_mappings, pay.budget_categories, pay.budgets, pay.claim_bills, pay.claim_entitlements, pay.claim_lines, pay.claim_reservations, pay.claim_types, pay.claims, pay.employee_salaries, pay.investment_declarations, pay.it_slabs, pay.output_artifacts, pay.payment_obligations, pay.previous_employer_income, pay.pt_slabs, pay.salary_components, pay.salary_structure_versions, pay.salary_structures, pay.source_consumptions, pay.statutory_memberships, pay.statutory_postings, pay.statutory_rates, pay.tax_elections, pay.tds_challans</x:v>
      </x:c>
      <x:c r="K114" s="3" t="str">
        <x:v>Documention_ProtiVity/SOW Tracker .xlsx, docs/10-INDIA-PAYROLL-STATUTORY-REFERENCE.md</x:v>
      </x:c>
    </x:row>
    <x:row r="115" ht="103" customHeight="1">
      <x:c r="A115" s="3" t="str">
        <x:v>SOW-132</x:v>
      </x:c>
      <x:c r="B115" s="3" t="n">
        <x:v>132</x:v>
      </x:c>
      <x:c r="C115" s="3" t="str">
        <x:v>When client approves new joiner inputs via client portal</x:v>
      </x:c>
      <x:c r="D115" s="3" t="str">
        <x:v>Blocked by reviewed defects</x:v>
      </x:c>
      <x:c r="E115" s="3" t="str">
        <x:v>R18, R35, R36, R40</x:v>
      </x:c>
      <x:c r="F115" s="3" t="str">
        <x:v>Seed import can create a login when source email/password hash is present.</x:v>
      </x:c>
      <x:c r="G115" s="3" t="str">
        <x:v>Implement rule-driven new-joiner ESS activation on approved intake/first payroll/connector interval; verify access lifecycle.</x:v>
      </x:c>
      <x:c r="H115" s="3" t="str">
        <x:v>LC-02, PAY-07, NFR-03</x:v>
      </x:c>
      <x:c r="I115" s="3" t="str">
        <x:v>P02, P06, L01, D10</x:v>
      </x:c>
      <x:c r="J115" s="3" t="str">
        <x:v>att.month_locks, att.overtime_entries, core.documents, core.employee_assignments, core.employees, core.onboarding_candidates, core.onboarding_tasks, core.prejoin_invitations, core.source_mappings, pay.arrears, pay.budget_categories, pay.budgets, pay.claim_bills, pay.claim_entitlements, pay.claim_lines, pay.claim_reservations, pay.claim_types, pay.claims, pay.employee_salaries, pay.inputs, pay.payment_obligations, pay.payroll_item_lines, pay.payroll_items, pay.payroll_runs, pay.run_input_refs, pay.salary_holds, pay.source_consumptions</x:v>
      </x:c>
      <x:c r="K115" s="3" t="str">
        <x:v>backend/src/modules/employees/import.service.ts, backend/src/modules/employees/import.schemas.ts, plans/phase-0-foundations.md, plans/phase-3-lifecycle-assets-executive.md, backend/src/modules/lifecycle/lifecycle.router.ts, frontend/src/pages/lifecycle/LifecyclePage.tsx, plans/phase-2-payroll-statutory.md, backend/src/api/router.ts, frontend/src/pages/payroll/PayrollPage.tsx</x:v>
      </x:c>
    </x:row>
    <x:row r="116" ht="103" customHeight="1">
      <x:c r="A116" s="3" t="str">
        <x:v>SOW-133</x:v>
      </x:c>
      <x:c r="B116" s="3" t="n">
        <x:v>133</x:v>
      </x:c>
      <x:c r="C116" s="3" t="str">
        <x:v>After first month payroll is processed if inputs are provided through excel format</x:v>
      </x:c>
      <x:c r="D116" s="3" t="str">
        <x:v>Blocked by reviewed defects</x:v>
      </x:c>
      <x:c r="E116" s="3" t="str">
        <x:v>R18, R35, R36, R40</x:v>
      </x:c>
      <x:c r="F116" s="3" t="str">
        <x:v>Seed import can create a login when source email/password hash is present.</x:v>
      </x:c>
      <x:c r="G116" s="3" t="str">
        <x:v>Implement rule-driven new-joiner ESS activation on approved intake/first payroll/connector interval; verify access lifecycle.</x:v>
      </x:c>
      <x:c r="H116" s="3" t="str">
        <x:v>LC-02, PAY-07, NFR-03</x:v>
      </x:c>
      <x:c r="I116" s="3" t="str">
        <x:v>P02, P06, L01, D10</x:v>
      </x:c>
      <x:c r="J116" s="3" t="str">
        <x:v>att.month_locks, att.overtime_entries, core.documents, core.employee_assignments, core.employees, core.onboarding_candidates, core.onboarding_tasks, core.prejoin_invitations, core.source_mappings, pay.arrears, pay.budget_categories, pay.budgets, pay.claim_bills, pay.claim_entitlements, pay.claim_lines, pay.claim_reservations, pay.claim_types, pay.claims, pay.employee_salaries, pay.inputs, pay.payment_obligations, pay.payroll_item_lines, pay.payroll_items, pay.payroll_runs, pay.run_input_refs, pay.salary_holds, pay.source_consumptions</x:v>
      </x:c>
      <x:c r="K116" s="3" t="str">
        <x:v>backend/src/modules/employees/import.service.ts, backend/src/modules/employees/import.schemas.ts, plans/phase-0-foundations.md, plans/phase-3-lifecycle-assets-executive.md, backend/src/modules/lifecycle/lifecycle.router.ts, frontend/src/pages/lifecycle/LifecyclePage.tsx, plans/phase-2-payroll-statutory.md, backend/src/api/router.ts, frontend/src/pages/payroll/PayrollPage.tsx</x:v>
      </x:c>
    </x:row>
    <x:row r="117" ht="116" customHeight="1">
      <x:c r="A117" s="3" t="str">
        <x:v>SOW-134</x:v>
      </x:c>
      <x:c r="B117" s="3" t="n">
        <x:v>134</x:v>
      </x:c>
      <x:c r="C117" s="3" t="str">
        <x:v>At agreed interval if new joiner information is provided via HR connector</x:v>
      </x:c>
      <x:c r="D117" s="3" t="str">
        <x:v>Blocked by reviewed defects</x:v>
      </x:c>
      <x:c r="E117" s="3" t="str">
        <x:v>R18, R35, R36, R40</x:v>
      </x:c>
      <x:c r="F117" s="3" t="str">
        <x:v>Seed import can create a login when source email/password hash is present.</x:v>
      </x:c>
      <x:c r="G117" s="3" t="str">
        <x:v>Implement rule-driven new-joiner ESS activation on approved intake/first payroll/connector interval; verify access lifecycle.</x:v>
      </x:c>
      <x:c r="H117" s="3" t="str">
        <x:v>LC-02, PAY-07, NFR-03</x:v>
      </x:c>
      <x:c r="I117" s="3" t="str">
        <x:v>P02, P06, L01, R01, D10</x:v>
      </x:c>
      <x:c r="J117" s="3" t="str">
        <x:v>att.month_locks, att.overtime_entries, core.documents, core.employee_assignments, core.employees, core.onboarding_candidates, core.onboarding_tasks, core.prejoin_invitations, core.source_mappings, pay.arrears, pay.budget_categories, pay.budgets, pay.claim_bills, pay.claim_entitlements, pay.claim_lines, pay.claim_reservations, pay.claim_types, pay.claims, pay.employee_salaries, pay.inputs, pay.payment_obligations, pay.payroll_item_lines, pay.payroll_items, pay.payroll_runs, pay.run_input_refs, pay.salary_holds, pay.source_consumptions, recruit.candidates, recruit.offers, recruit.vacancies</x:v>
      </x:c>
      <x:c r="K117" s="3" t="str">
        <x:v>backend/src/modules/employees/import.service.ts, backend/src/modules/employees/import.schemas.ts, plans/phase-0-foundations.md, plans/phase-3-lifecycle-assets-executive.md, backend/src/modules/lifecycle/lifecycle.router.ts, frontend/src/pages/lifecycle/LifecyclePage.tsx, plans/phase-2-payroll-statutory.md, backend/src/api/router.ts, frontend/src/pages/payroll/PayrollPage.tsx</x:v>
      </x:c>
    </x:row>
    <x:row r="118" ht="90" customHeight="1">
      <x:c r="A118" s="3" t="str">
        <x:v>SOW-136</x:v>
      </x:c>
      <x:c r="B118" s="3" t="n">
        <x:v>136</x:v>
      </x:c>
      <x:c r="C118" s="3" t="str">
        <x:v>Scenario 1 (Payment hold) - To hold payment of any specific salary(s) vendor will process salary as instructed by the Rashmi Metaliks Limited. The salary transfer details in bank file will be removed. All statutory payments (PF, PT, ESI, LWF) would be remitted normally. In order to release the salary, Protiviti implant should add the net pay value of the employee as part of respective month's input</x:v>
      </x:c>
      <x:c r="D118" s="3" t="str">
        <x:v>Blocked by reviewed defects</x:v>
      </x:c>
      <x:c r="E118" s="3" t="str">
        <x:v>R06</x:v>
      </x:c>
      <x:c r="F118" s="3" t="str">
        <x:v>Salary hold scenarios are documented only.</x:v>
      </x:c>
      <x:c r="G118" s="3" t="str">
        <x:v>Build the exact payment-hold/process-hold behavior, statutory continuity, bank exclusions, releases and LOP reversals.</x:v>
      </x:c>
      <x:c r="H118" s="3" t="str">
        <x:v>PAY-08</x:v>
      </x:c>
      <x:c r="I118" s="3" t="str">
        <x:v>P02, P04, L05, D10</x:v>
      </x:c>
      <x:c r="J118" s="3" t="str">
        <x:v>att.month_locks, att.overtime_entries, core.clearances, core.documents, core.letters, core.separations, lv.ledger, pay.arrears, pay.bank_batch_lines, pay.bank_batches, pay.fnf_settlements, pay.gl_accounts, pay.inputs, pay.journal_batches, pay.journal_lines, pay.output_artifacts, pay.payment_events, pay.payment_obligations, pay.payroll_item_lines, pay.payroll_items, pay.payroll_runs, pay.run_input_refs, pay.salary_holds, pay.source_consumptions</x:v>
      </x:c>
      <x:c r="K118" s="3" t="str">
        <x:v>plans/phase-2-payroll-statutory.md, backend/src/api/router.ts, frontend/src/pages/payroll/PayrollPage.tsx</x:v>
      </x:c>
    </x:row>
    <x:row r="119" ht="77" customHeight="1">
      <x:c r="A119" s="3" t="str">
        <x:v>SOW-137</x:v>
      </x:c>
      <x:c r="B119" s="3" t="n">
        <x:v>137</x:v>
      </x:c>
      <x:c r="C119" s="3" t="str">
        <x:v>Scenario 2 (Process hold) - To hold processing of any specific salary(s) for absconding employees, etc., the Protiviti should include full month LOP input for this employee until the defined date. If the defined date is not known, Protiviti to give LOP input month on month. In order to release the salary, Protiviti should provide LOP reversal inputs in the respective month of release.</x:v>
      </x:c>
      <x:c r="D119" s="3" t="str">
        <x:v>Blocked by reviewed defects</x:v>
      </x:c>
      <x:c r="E119" s="3" t="str">
        <x:v>R06</x:v>
      </x:c>
      <x:c r="F119" s="3" t="str">
        <x:v>Salary hold scenarios are documented only.</x:v>
      </x:c>
      <x:c r="G119" s="3" t="str">
        <x:v>Build the exact payment-hold/process-hold behavior, statutory continuity, bank exclusions, releases and LOP reversals.</x:v>
      </x:c>
      <x:c r="H119" s="3" t="str">
        <x:v>PAY-08</x:v>
      </x:c>
      <x:c r="I119" s="3" t="str">
        <x:v>P02, L05, D10</x:v>
      </x:c>
      <x:c r="J119" s="3" t="str">
        <x:v>att.month_locks, att.overtime_entries, core.clearances, core.letters, core.separations, lv.ledger, pay.arrears, pay.fnf_settlements, pay.inputs, pay.payment_obligations, pay.payroll_item_lines, pay.payroll_items, pay.payroll_runs, pay.run_input_refs, pay.salary_holds, pay.source_consumptions</x:v>
      </x:c>
      <x:c r="K119" s="3" t="str">
        <x:v>plans/phase-2-payroll-statutory.md, backend/src/api/router.ts, frontend/src/pages/payroll/PayrollPage.tsx</x:v>
      </x:c>
    </x:row>
    <x:row r="120" ht="363" customHeight="1">
      <x:c r="A120" s="3" t="str">
        <x:v>SOW-139</x:v>
      </x:c>
      <x:c r="B120" s="3" t="n">
        <x:v>139</x:v>
      </x:c>
      <x:c r="C120" s="3" t="str">
        <x:v>Vendor would provide documentation support for any internal Audits and third-party requirements</x:v>
      </x:c>
      <x:c r="D120" s="3" t="str">
        <x:v>Blocked by reviewed defects</x:v>
      </x:c>
      <x:c r="E120" s="3" t="str">
        <x:v>R17, R34, R37, R44, R45</x:v>
      </x:c>
      <x:c r="F120" s="3" t="str">
        <x:v>Append-only audit and several exports exist.</x:v>
      </x:c>
      <x:c r="G120" s="3" t="str">
        <x:v>Complete payroll audit records/evidence and document actual internal/third-party audit support. Source code is not proof of vendor service delivery.</x:v>
      </x:c>
      <x:c r="H120" s="3" t="str">
        <x:v>CORE-11, RPT-06, PAY-18</x:v>
      </x:c>
      <x:c r="I120" s="3" t="str">
        <x:v>F01, F04, A05, P04, W04, D12</x:v>
      </x:c>
      <x:c r="J120" s="3" t="str">
        <x:v>ast.assets, ast.assignments, ast.maintenance, att.absence_cases, att.coverage_targets, att.day_records, att.device_watermarks, att.devices, att.employee_shifts, att.holidays, att.ingest_watermarks, att.leave_blackouts, att.manager_month_approvals, att.month_locks, att.overtime_entries, att.quarantined_swipes, att.recompute_queue, att.regularizations, att.roster_publications, att.roster_revisions, att.rosters, att.shift_patterns, att.shift_swaps, att.shifts, att.swipe_events, cmp.calendar_items, cmp.filing_evidence, cmp.registrations, core.audit_log, core.companies, core.cost_centers, core.departments, core.designations, core.document_operations, core.documents, core.employee_assignments, core.employee_family, core.employee_history, core.employees, core.grades, core.letter_templates, core.letters, core.locations, core.mis_codes, core.org_units, core.password_reset_tokens, core.permissions, core.plants, core.policies, core.policy_acknowledgments, core.profile_change_requests, core.reporting_tree, core.role_permissions, core.roles, core.settings, core.user_roles, core.users, doc.types, eng.announcements, eng.poll_responses, eng.polls, hd.categories, hd.ticket_messages, hd.tickets, ird.grievances, ird.ic_members, ird.posh_case_access_log, ird.posh_cases, ird.whistleblower_reports, lv.applications, lv.leave_types, lv.ledger, lv.restricted_holidays, lv.rh_selections, pay.bank_batch_lines, pay.bank_batches, pay.budget_categories, pay.budgets, pay.claim_lines, pay.claim_reservations, pay.claim_types, pay.claims, pay.gl_accounts, pay.journal_batches, pay.journal_lines, pay.output_artifacts, pay.payment_events, pay.payment_obligations, pay.payroll_item_lines, pay.payroll_items, pay.source_consumptions, prv.breach_register, prv.consent_events, prv.consents, prv.legal_holds, prv.notice_acks, prv.notices, prv.processing_register, prv.processors, prv.purge_log, prv.purge_proposals, prv.retention_rules, prv.rights_requests, reporting.kpi_daily, reporting.muster_month, reporting.snapshot_builds, sec.access_events, sec.mfa_enrolments, sec.mfa_recovery_codes, sec.password_history, sec.sessions, wf.definitions, wf.delegations, wf.event_subscriptions, wf.notification_attempts, wf.notifications, wf.request_steps, wf.requests</x:v>
      </x:c>
      <x:c r="K120" s="3" t="str">
        <x:v>backend/src/core/audit/audit.service.ts, backend/src/modules/reports/reports-export.service.ts, plans/phase-2-payroll-statutory.md, backend/src/api/router.ts, frontend/src/pages/payroll/PayrollPage.tsx</x:v>
      </x:c>
    </x:row>
    <x:row r="121" ht="48" customHeight="1">
      <x:c r="A121" s="3" t="str">
        <x:v>SOW-140</x:v>
      </x:c>
      <x:c r="B121" s="3" t="n">
        <x:v>140</x:v>
      </x:c>
      <x:c r="C121" s="3" t="str">
        <x:v>Any data / reports requirement to support audit needs to be shared in advance with vendor and turnaround time to deliver will be mutually agreed.</x:v>
      </x:c>
      <x:c r="D121" s="3" t="str">
        <x:v>Manual/service evidence pending</x:v>
      </x:c>
      <x:c r="E121" s="3" t="str"/>
      <x:c r="F121" s="3" t="str">
        <x:v>Advance report notice/turnaround agreement is an operating clause.</x:v>
      </x:c>
      <x:c r="G121" s="3" t="str">
        <x:v>Record requested report, agreed turnaround and delivery evidence with responsible HR/payroll owner.</x:v>
      </x:c>
      <x:c r="H121" s="3" t="str">
        <x:v>SOW-5.8 service term</x:v>
      </x:c>
      <x:c r="I121" s="3" t="str">
        <x:v>M01</x:v>
      </x:c>
      <x:c r="J121" s="3" t="str">
        <x:v>cmp.calendar_items, cmp.filing_evidence, cmp.registrations, core.documents, pay.output_artifacts</x:v>
      </x:c>
      <x:c r="K121" s="3" t="str">
        <x:v>Documention_ProtiVity/SOW Tracker .xlsx</x:v>
      </x:c>
    </x:row>
    <x:row r="122" ht="103" customHeight="1">
      <x:c r="A122" s="3" t="str">
        <x:v>SOW-141</x:v>
      </x:c>
      <x:c r="B122" s="3" t="n">
        <x:v>141</x:v>
      </x:c>
      <x:c r="C122" s="3" t="str">
        <x:v>Payroll processing for Interns / Trainees and apply statutory contributions (including tax) as applicable.</x:v>
      </x:c>
      <x:c r="D122" s="3" t="str">
        <x:v>Blocked by reviewed defects</x:v>
      </x:c>
      <x:c r="E122" s="3" t="str">
        <x:v>R05</x:v>
      </x:c>
      <x:c r="F122" s="3" t="str">
        <x:v>Trainee/category flags exist; stipend payroll does not.</x:v>
      </x:c>
      <x:c r="G122" s="3" t="str">
        <x:v>Build trainee/apprentice payroll and explicit applicability rules. Resolve SOW blanket statutory exclusion against doc 10 §9 before implementation.</x:v>
      </x:c>
      <x:c r="H122" s="3" t="str">
        <x:v>PAY-14, CORE-05</x:v>
      </x:c>
      <x:c r="I122" s="3" t="str">
        <x:v>P01, P02, P03, D01</x:v>
      </x:c>
      <x:c r="J122" s="3" t="str">
        <x:v>att.month_locks, att.overtime_entries, core.employee_assignments, core.probation_reviews, pay.arrears, pay.employee_salaries, pay.inputs, pay.investment_declarations, pay.it_slabs, pay.output_artifacts, pay.payment_obligations, pay.payroll_item_lines, pay.payroll_items, pay.payroll_runs, pay.previous_employer_income, pay.pt_slabs, pay.run_input_refs, pay.salary_components, pay.salary_holds, pay.salary_structure_versions, pay.salary_structures, pay.source_consumptions, pay.statutory_memberships, pay.statutory_postings, pay.statutory_rates, pay.tax_elections, pay.tds_challans</x:v>
      </x:c>
      <x:c r="K122" s="3" t="str">
        <x:v>plans/phase-2-payroll-statutory.md, backend/src/api/router.ts, frontend/src/pages/payroll/PayrollPage.tsx, docs/10-INDIA-PAYROLL-STATUTORY-REFERENCE.md</x:v>
      </x:c>
    </x:row>
    <x:row r="123" ht="103" customHeight="1">
      <x:c r="A123" s="3" t="str">
        <x:v>SOW-142</x:v>
      </x:c>
      <x:c r="B123" s="3" t="n">
        <x:v>142</x:v>
      </x:c>
      <x:c r="C123" s="3" t="str">
        <x:v>Payroll processing for Apprentice as per the Apprenticeship act without any statutory deduction.</x:v>
      </x:c>
      <x:c r="D123" s="3" t="str">
        <x:v>Blocked by reviewed defects</x:v>
      </x:c>
      <x:c r="E123" s="3" t="str">
        <x:v>R05</x:v>
      </x:c>
      <x:c r="F123" s="3" t="str">
        <x:v>Trainee/category flags exist; stipend payroll does not.</x:v>
      </x:c>
      <x:c r="G123" s="3" t="str">
        <x:v>Build trainee/apprentice payroll and explicit applicability rules. Resolve SOW blanket statutory exclusion against doc 10 §9 before implementation.</x:v>
      </x:c>
      <x:c r="H123" s="3" t="str">
        <x:v>PAY-14, CORE-05</x:v>
      </x:c>
      <x:c r="I123" s="3" t="str">
        <x:v>P01, P02, P03, D01</x:v>
      </x:c>
      <x:c r="J123" s="3" t="str">
        <x:v>att.month_locks, att.overtime_entries, core.employee_assignments, core.probation_reviews, pay.arrears, pay.employee_salaries, pay.inputs, pay.investment_declarations, pay.it_slabs, pay.output_artifacts, pay.payment_obligations, pay.payroll_item_lines, pay.payroll_items, pay.payroll_runs, pay.previous_employer_income, pay.pt_slabs, pay.run_input_refs, pay.salary_components, pay.salary_holds, pay.salary_structure_versions, pay.salary_structures, pay.source_consumptions, pay.statutory_memberships, pay.statutory_postings, pay.statutory_rates, pay.tax_elections, pay.tds_challans</x:v>
      </x:c>
      <x:c r="K123" s="3" t="str">
        <x:v>plans/phase-2-payroll-statutory.md, backend/src/api/router.ts, frontend/src/pages/payroll/PayrollPage.tsx, docs/10-INDIA-PAYROLL-STATUTORY-REFERENCE.md</x:v>
      </x:c>
    </x:row>
    <x:row r="124" ht="48" customHeight="1">
      <x:c r="A124" s="3" t="str">
        <x:v>SOW-143</x:v>
      </x:c>
      <x:c r="B124" s="3" t="n">
        <x:v>143</x:v>
      </x:c>
      <x:c r="C124" s="3" t="str">
        <x:v>Additional ad hoc/On Demand reports can be provided by vendor subject to feasibility. Timeline to build the report and commercials to be mutually agreed.</x:v>
      </x:c>
      <x:c r="D124" s="3" t="str">
        <x:v>Scope decision pending</x:v>
      </x:c>
      <x:c r="E124" s="3" t="str">
        <x:v>R34, R44, R45</x:v>
      </x:c>
      <x:c r="F124" s="3" t="str">
        <x:v>Fixed specified reports exist; no general ad-hoc report builder.</x:v>
      </x:c>
      <x:c r="G124" s="3" t="str">
        <x:v>Agree each additional report, columns, feasibility and service/commercial terms. This clause does not authorize inventing a report-builder scope.</x:v>
      </x:c>
      <x:c r="H124" s="3" t="str">
        <x:v>RPT-06; SOW-5.8 service term</x:v>
      </x:c>
      <x:c r="I124" s="3" t="str">
        <x:v>W04, D08</x:v>
      </x:c>
      <x:c r="J124" s="3" t="str">
        <x:v>core.employee_assignments, pay.payroll_item_lines, pay.payroll_items, pay.source_consumptions, reporting.kpi_daily, reporting.muster_month, reporting.snapshot_builds</x:v>
      </x:c>
      <x:c r="K124" s="3" t="str">
        <x:v>Documention_ProtiVity/SOW Tracker .xlsx, docs/06-REPORTS-AND-DASHBOARDS.md</x:v>
      </x:c>
    </x:row>
    <x:row r="125" ht="51" customHeight="1">
      <x:c r="A125" s="3" t="str">
        <x:v>SOW-145</x:v>
      </x:c>
      <x:c r="B125" s="3" t="n">
        <x:v>145</x:v>
      </x:c>
      <x:c r="C125" s="3" t="str">
        <x:v>Monthly Income TDS deductions and tax reporting</x:v>
      </x:c>
      <x:c r="D125" s="3" t="str">
        <x:v>Blocked by reviewed defects</x:v>
      </x:c>
      <x:c r="E125" s="3" t="str">
        <x:v>R05, R28, R29, R30, R38</x:v>
      </x:c>
      <x:c r="F125" s="3" t="str">
        <x:v>TDS/declaration/24Q/Form16/challan reconciliation are specified.</x:v>
      </x:c>
      <x:c r="G125" s="3" t="str">
        <x:v>Build TDS calculations and row-specific output/reconciliation; confirm coverage beyond source note white collars. Humans file portal outputs.</x:v>
      </x:c>
      <x:c r="H125" s="3" t="str">
        <x:v>PAY-13</x:v>
      </x:c>
      <x:c r="I125" s="3" t="str">
        <x:v>P03, D01</x:v>
      </x:c>
      <x:c r="J125" s="3" t="str">
        <x:v>pay.investment_declarations, pay.it_slabs, pay.output_artifacts, pay.previous_employer_income, pay.pt_slabs, pay.statutory_memberships, pay.statutory_postings, pay.statutory_rates, pay.tax_elections, pay.tds_challans</x:v>
      </x:c>
      <x:c r="K125" s="3" t="str">
        <x:v>plans/phase-2-payroll-statutory.md, backend/src/api/router.ts, frontend/src/pages/payroll/PayrollPage.tsx</x:v>
      </x:c>
    </x:row>
    <x:row r="126" ht="51" customHeight="1">
      <x:c r="A126" s="3" t="str">
        <x:v>SOW-146</x:v>
      </x:c>
      <x:c r="B126" s="3" t="n">
        <x:v>146</x:v>
      </x:c>
      <x:c r="C126" s="3" t="str">
        <x:v>Quarterly filings (Form 24Q) &amp; Annual Form 16 generation</x:v>
      </x:c>
      <x:c r="D126" s="3" t="str">
        <x:v>Blocked by reviewed defects</x:v>
      </x:c>
      <x:c r="E126" s="3" t="str">
        <x:v>R05, R28, R29, R30, R38</x:v>
      </x:c>
      <x:c r="F126" s="3" t="str">
        <x:v>TDS/declaration/24Q/Form16/challan reconciliation are specified.</x:v>
      </x:c>
      <x:c r="G126" s="3" t="str">
        <x:v>Build TDS calculations and row-specific output/reconciliation; confirm coverage beyond source note white collars. Humans file portal outputs.</x:v>
      </x:c>
      <x:c r="H126" s="3" t="str">
        <x:v>PAY-13</x:v>
      </x:c>
      <x:c r="I126" s="3" t="str">
        <x:v>P03, D01</x:v>
      </x:c>
      <x:c r="J126" s="3" t="str">
        <x:v>pay.investment_declarations, pay.it_slabs, pay.output_artifacts, pay.previous_employer_income, pay.pt_slabs, pay.statutory_memberships, pay.statutory_postings, pay.statutory_rates, pay.tax_elections, pay.tds_challans</x:v>
      </x:c>
      <x:c r="K126" s="3" t="str">
        <x:v>plans/phase-2-payroll-statutory.md, backend/src/api/router.ts, frontend/src/pages/payroll/PayrollPage.tsx</x:v>
      </x:c>
    </x:row>
    <x:row r="127" ht="77" customHeight="1">
      <x:c r="A127" s="3" t="str">
        <x:v>SOW-147</x:v>
      </x:c>
      <x:c r="B127" s="3" t="n">
        <x:v>147</x:v>
      </x:c>
      <x:c r="C127" s="3" t="str">
        <x:v>Reconciliation of tax deductions vs. paid challans</x:v>
      </x:c>
      <x:c r="D127" s="3" t="str">
        <x:v>Blocked by reviewed defects</x:v>
      </x:c>
      <x:c r="E127" s="3" t="str">
        <x:v>R05, R28, R29, R30, R38</x:v>
      </x:c>
      <x:c r="F127" s="3" t="str">
        <x:v>TDS/declaration/24Q/Form16/challan reconciliation are specified.</x:v>
      </x:c>
      <x:c r="G127" s="3" t="str">
        <x:v>Build TDS calculations and row-specific output/reconciliation; confirm coverage beyond source note white collars. Humans file portal outputs.</x:v>
      </x:c>
      <x:c r="H127" s="3" t="str">
        <x:v>PAY-13</x:v>
      </x:c>
      <x:c r="I127" s="3" t="str">
        <x:v>P03, P04, D01</x:v>
      </x:c>
      <x:c r="J127" s="3" t="str">
        <x:v>core.documents, pay.bank_batch_lines, pay.bank_batches, pay.gl_accounts, pay.investment_declarations, pay.it_slabs, pay.journal_batches, pay.journal_lines, pay.output_artifacts, pay.payment_events, pay.payment_obligations, pay.previous_employer_income, pay.pt_slabs, pay.statutory_memberships, pay.statutory_postings, pay.statutory_rates, pay.tax_elections, pay.tds_challans</x:v>
      </x:c>
      <x:c r="K127" s="3" t="str">
        <x:v>plans/phase-2-payroll-statutory.md, backend/src/api/router.ts, frontend/src/pages/payroll/PayrollPage.tsx</x:v>
      </x:c>
    </x:row>
    <x:row r="128" ht="48" customHeight="1">
      <x:c r="A128" s="3" t="str">
        <x:v>SOW-149</x:v>
      </x:c>
      <x:c r="B128" s="3" t="n">
        <x:v>149</x:v>
      </x:c>
      <x:c r="C128" s="3" t="str">
        <x:v>UAN generation &amp; KYC updating.</x:v>
      </x:c>
      <x:c r="D128" s="3" t="str">
        <x:v>Manual/service evidence pending</x:v>
      </x:c>
      <x:c r="E128" s="3" t="str">
        <x:v>R05</x:v>
      </x:c>
      <x:c r="F128" s="3" t="str">
        <x:v>These are government-portal updates, claims, inspection assistance or legislative-monitoring services. No service completion evidence was audited.</x:v>
      </x:c>
      <x:c r="G128" s="3" t="str">
        <x:v>Assign compliance owner and retain portal acknowledgment/claim/notice evidence. HRMS file generation does not discharge these human duties.</x:v>
      </x:c>
      <x:c r="H128" s="3" t="str">
        <x:v>PAY-09; statutory operations</x:v>
      </x:c>
      <x:c r="I128" s="3" t="str">
        <x:v>M01</x:v>
      </x:c>
      <x:c r="J128" s="3" t="str">
        <x:v>cmp.calendar_items, cmp.filing_evidence, cmp.registrations, core.documents, pay.output_artifacts</x:v>
      </x:c>
      <x:c r="K128" s="3" t="str">
        <x:v>Documention_ProtiVity/SOW Tracker .xlsx, docs/10-INDIA-PAYROLL-STATUTORY-REFERENCE.md</x:v>
      </x:c>
    </x:row>
    <x:row r="129" ht="77" customHeight="1">
      <x:c r="A129" s="3" t="str">
        <x:v>SOW-150</x:v>
      </x:c>
      <x:c r="B129" s="3" t="n">
        <x:v>150</x:v>
      </x:c>
      <x:c r="C129" s="3" t="str">
        <x:v>PF challan &amp; return filing</x:v>
      </x:c>
      <x:c r="D129" s="3" t="str">
        <x:v>Blocked by reviewed defects</x:v>
      </x:c>
      <x:c r="E129" s="3" t="str">
        <x:v>R05</x:v>
      </x:c>
      <x:c r="F129" s="3" t="str">
        <x:v>PF register/ECR generation is specified, not implemented.</x:v>
      </x:c>
      <x:c r="G129" s="3" t="str">
        <x:v>Build PF/ECR output and acceptance checks; named compliance owner uploads/pays and retains challan/return acknowledgment.</x:v>
      </x:c>
      <x:c r="H129" s="3" t="str">
        <x:v>PAY-09</x:v>
      </x:c>
      <x:c r="I129" s="3" t="str">
        <x:v>P03, P04, D01</x:v>
      </x:c>
      <x:c r="J129" s="3" t="str">
        <x:v>core.documents, pay.bank_batch_lines, pay.bank_batches, pay.gl_accounts, pay.investment_declarations, pay.it_slabs, pay.journal_batches, pay.journal_lines, pay.output_artifacts, pay.payment_events, pay.payment_obligations, pay.previous_employer_income, pay.pt_slabs, pay.statutory_memberships, pay.statutory_postings, pay.statutory_rates, pay.tax_elections, pay.tds_challans</x:v>
      </x:c>
      <x:c r="K129" s="3" t="str">
        <x:v>plans/phase-2-payroll-statutory.md, backend/src/api/router.ts, frontend/src/pages/payroll/PayrollPage.tsx, docs/10-INDIA-PAYROLL-STATUTORY-REFERENCE.md</x:v>
      </x:c>
    </x:row>
    <x:row r="130" ht="48" customHeight="1">
      <x:c r="A130" s="3" t="str">
        <x:v>SOW-151</x:v>
      </x:c>
      <x:c r="B130" s="3" t="n">
        <x:v>151</x:v>
      </x:c>
      <x:c r="C130" s="3" t="str">
        <x:v>Inspection support &amp; statutory queries resolution.is received in the mobile number registered in the EPFO Portal</x:v>
      </x:c>
      <x:c r="D130" s="3" t="str">
        <x:v>Manual/service evidence pending</x:v>
      </x:c>
      <x:c r="E130" s="3" t="str">
        <x:v>R05</x:v>
      </x:c>
      <x:c r="F130" s="3" t="str">
        <x:v>These are government-portal updates, claims, inspection assistance or legislative-monitoring services. No service completion evidence was audited.</x:v>
      </x:c>
      <x:c r="G130" s="3" t="str">
        <x:v>Assign compliance owner and retain portal acknowledgment/claim/notice evidence. HRMS file generation does not discharge these human duties.</x:v>
      </x:c>
      <x:c r="H130" s="3" t="str">
        <x:v>PAY-09; statutory operations</x:v>
      </x:c>
      <x:c r="I130" s="3" t="str">
        <x:v>M01</x:v>
      </x:c>
      <x:c r="J130" s="3" t="str">
        <x:v>cmp.calendar_items, cmp.filing_evidence, cmp.registrations, core.documents, pay.output_artifacts</x:v>
      </x:c>
      <x:c r="K130" s="3" t="str">
        <x:v>Documention_ProtiVity/SOW Tracker .xlsx, docs/10-INDIA-PAYROLL-STATUTORY-REFERENCE.md</x:v>
      </x:c>
    </x:row>
    <x:row r="131" ht="48" customHeight="1">
      <x:c r="A131" s="3" t="str">
        <x:v>SOW-152</x:v>
      </x:c>
      <x:c r="B131" s="3" t="n">
        <x:v>152</x:v>
      </x:c>
      <x:c r="C131" s="3" t="str">
        <x:v>EDLI Returns (Form 7IF) </x:v>
      </x:c>
      <x:c r="D131" s="3" t="str">
        <x:v>Manual/service evidence pending</x:v>
      </x:c>
      <x:c r="E131" s="3" t="str">
        <x:v>R05</x:v>
      </x:c>
      <x:c r="F131" s="3" t="str">
        <x:v>These are government-portal updates, claims, inspection assistance or legislative-monitoring services. No service completion evidence was audited.</x:v>
      </x:c>
      <x:c r="G131" s="3" t="str">
        <x:v>Assign compliance owner and retain portal acknowledgment/claim/notice evidence. HRMS file generation does not discharge these human duties.</x:v>
      </x:c>
      <x:c r="H131" s="3" t="str">
        <x:v>PAY-09; statutory operations</x:v>
      </x:c>
      <x:c r="I131" s="3" t="str">
        <x:v>D01, M01</x:v>
      </x:c>
      <x:c r="J131" s="3" t="str">
        <x:v>cmp.calendar_items, cmp.filing_evidence, cmp.registrations, core.documents, pay.output_artifacts</x:v>
      </x:c>
      <x:c r="K131" s="3" t="str">
        <x:v>Documention_ProtiVity/SOW Tracker .xlsx, docs/10-INDIA-PAYROLL-STATUTORY-REFERENCE.md</x:v>
      </x:c>
    </x:row>
    <x:row r="132" ht="51" customHeight="1">
      <x:c r="A132" s="3" t="str">
        <x:v>SOW-153</x:v>
      </x:c>
      <x:c r="B132" s="3" t="n">
        <x:v>153</x:v>
      </x:c>
      <x:c r="C132" s="3" t="str">
        <x:v>Date of Leaving updating – Date of leaving and the reason for leaving will be updated in the EPFO portal by Protiviti</x:v>
      </x:c>
      <x:c r="D132" s="3" t="str">
        <x:v>Manual/service evidence pending</x:v>
      </x:c>
      <x:c r="E132" s="3" t="str">
        <x:v>R05</x:v>
      </x:c>
      <x:c r="F132" s="3" t="str">
        <x:v>These are government-portal updates, claims, inspection assistance or legislative-monitoring services. No service completion evidence was audited.</x:v>
      </x:c>
      <x:c r="G132" s="3" t="str">
        <x:v>Assign compliance owner and retain portal acknowledgment/claim/notice evidence. HRMS file generation does not discharge these human duties.</x:v>
      </x:c>
      <x:c r="H132" s="3" t="str">
        <x:v>PAY-09; statutory operations</x:v>
      </x:c>
      <x:c r="I132" s="3" t="str">
        <x:v>L04, M01</x:v>
      </x:c>
      <x:c r="J132" s="3" t="str">
        <x:v>ast.assignments, ast.custody_events, cmp.calendar_items, cmp.filing_evidence, cmp.registrations, core.clearances, core.documents, core.separations, pay.claims, pay.loan_postings, pay.loans, pay.output_artifacts, te.advances, te.wallet_postings</x:v>
      </x:c>
      <x:c r="K132" s="3" t="str">
        <x:v>Documention_ProtiVity/SOW Tracker .xlsx, docs/10-INDIA-PAYROLL-STATUTORY-REFERENCE.md</x:v>
      </x:c>
    </x:row>
    <x:row r="133" ht="48" customHeight="1">
      <x:c r="A133" s="3" t="str">
        <x:v>SOW-154</x:v>
      </x:c>
      <x:c r="B133" s="3" t="n">
        <x:v>154</x:v>
      </x:c>
      <x:c r="C133" s="3" t="str">
        <x:v>Form 5A updating (Ownership Details)</x:v>
      </x:c>
      <x:c r="D133" s="3" t="str">
        <x:v>Manual/service evidence pending</x:v>
      </x:c>
      <x:c r="E133" s="3" t="str">
        <x:v>R05</x:v>
      </x:c>
      <x:c r="F133" s="3" t="str">
        <x:v>These are government-portal updates, claims, inspection assistance or legislative-monitoring services. No service completion evidence was audited.</x:v>
      </x:c>
      <x:c r="G133" s="3" t="str">
        <x:v>Assign compliance owner and retain portal acknowledgment/claim/notice evidence. HRMS file generation does not discharge these human duties.</x:v>
      </x:c>
      <x:c r="H133" s="3" t="str">
        <x:v>PAY-09; statutory operations</x:v>
      </x:c>
      <x:c r="I133" s="3" t="str">
        <x:v>M01</x:v>
      </x:c>
      <x:c r="J133" s="3" t="str">
        <x:v>cmp.calendar_items, cmp.filing_evidence, cmp.registrations, core.documents, pay.output_artifacts</x:v>
      </x:c>
      <x:c r="K133" s="3" t="str">
        <x:v>Documention_ProtiVity/SOW Tracker .xlsx, docs/10-INDIA-PAYROLL-STATUTORY-REFERENCE.md</x:v>
      </x:c>
    </x:row>
    <x:row r="134" ht="48" customHeight="1">
      <x:c r="A134" s="3" t="str">
        <x:v>SOW-155</x:v>
      </x:c>
      <x:c r="B134" s="3" t="n">
        <x:v>155</x:v>
      </x:c>
      <x:c r="C134" s="3" t="str">
        <x:v>Modify Establishment Details</x:v>
      </x:c>
      <x:c r="D134" s="3" t="str">
        <x:v>Manual/service evidence pending</x:v>
      </x:c>
      <x:c r="E134" s="3" t="str">
        <x:v>R05</x:v>
      </x:c>
      <x:c r="F134" s="3" t="str">
        <x:v>These are government-portal updates, claims, inspection assistance or legislative-monitoring services. No service completion evidence was audited.</x:v>
      </x:c>
      <x:c r="G134" s="3" t="str">
        <x:v>Assign compliance owner and retain portal acknowledgment/claim/notice evidence. HRMS file generation does not discharge these human duties.</x:v>
      </x:c>
      <x:c r="H134" s="3" t="str">
        <x:v>PAY-09; statutory operations</x:v>
      </x:c>
      <x:c r="I134" s="3" t="str">
        <x:v>M01</x:v>
      </x:c>
      <x:c r="J134" s="3" t="str">
        <x:v>cmp.calendar_items, cmp.filing_evidence, cmp.registrations, core.documents, pay.output_artifacts</x:v>
      </x:c>
      <x:c r="K134" s="3" t="str">
        <x:v>Documention_ProtiVity/SOW Tracker .xlsx, docs/10-INDIA-PAYROLL-STATUTORY-REFERENCE.md</x:v>
      </x:c>
    </x:row>
    <x:row r="135" ht="48" customHeight="1">
      <x:c r="A135" s="3" t="str">
        <x:v>SOW-156</x:v>
      </x:c>
      <x:c r="B135" s="3" t="n">
        <x:v>156</x:v>
      </x:c>
      <x:c r="C135" s="3" t="str">
        <x:v>Joint Declaration Submission</x:v>
      </x:c>
      <x:c r="D135" s="3" t="str">
        <x:v>Manual/service evidence pending</x:v>
      </x:c>
      <x:c r="E135" s="3" t="str">
        <x:v>R05</x:v>
      </x:c>
      <x:c r="F135" s="3" t="str">
        <x:v>These are government-portal updates, claims, inspection assistance or legislative-monitoring services. No service completion evidence was audited.</x:v>
      </x:c>
      <x:c r="G135" s="3" t="str">
        <x:v>Assign compliance owner and retain portal acknowledgment/claim/notice evidence. HRMS file generation does not discharge these human duties.</x:v>
      </x:c>
      <x:c r="H135" s="3" t="str">
        <x:v>PAY-09; statutory operations</x:v>
      </x:c>
      <x:c r="I135" s="3" t="str">
        <x:v>M01</x:v>
      </x:c>
      <x:c r="J135" s="3" t="str">
        <x:v>cmp.calendar_items, cmp.filing_evidence, cmp.registrations, core.documents, pay.output_artifacts</x:v>
      </x:c>
      <x:c r="K135" s="3" t="str">
        <x:v>Documention_ProtiVity/SOW Tracker .xlsx, docs/10-INDIA-PAYROLL-STATUTORY-REFERENCE.md</x:v>
      </x:c>
    </x:row>
    <x:row r="136" ht="48" customHeight="1">
      <x:c r="A136" s="3" t="str">
        <x:v>SOW-157</x:v>
      </x:c>
      <x:c r="B136" s="3" t="n">
        <x:v>157</x:v>
      </x:c>
      <x:c r="C136" s="3" t="str">
        <x:v>Death Claim Submission</x:v>
      </x:c>
      <x:c r="D136" s="3" t="str">
        <x:v>Manual/service evidence pending</x:v>
      </x:c>
      <x:c r="E136" s="3" t="str">
        <x:v>R05</x:v>
      </x:c>
      <x:c r="F136" s="3" t="str">
        <x:v>These are government-portal updates, claims, inspection assistance or legislative-monitoring services. No service completion evidence was audited.</x:v>
      </x:c>
      <x:c r="G136" s="3" t="str">
        <x:v>Assign compliance owner and retain portal acknowledgment/claim/notice evidence. HRMS file generation does not discharge these human duties.</x:v>
      </x:c>
      <x:c r="H136" s="3" t="str">
        <x:v>PAY-09; statutory operations</x:v>
      </x:c>
      <x:c r="I136" s="3" t="str">
        <x:v>M01</x:v>
      </x:c>
      <x:c r="J136" s="3" t="str">
        <x:v>cmp.calendar_items, cmp.filing_evidence, cmp.registrations, core.documents, pay.output_artifacts</x:v>
      </x:c>
      <x:c r="K136" s="3" t="str">
        <x:v>Documention_ProtiVity/SOW Tracker .xlsx, docs/10-INDIA-PAYROLL-STATUTORY-REFERENCE.md</x:v>
      </x:c>
    </x:row>
    <x:row r="137" ht="48" customHeight="1">
      <x:c r="A137" s="3" t="str">
        <x:v>SOW-158</x:v>
      </x:c>
      <x:c r="B137" s="3" t="n">
        <x:v>158</x:v>
      </x:c>
      <x:c r="C137" s="3" t="str">
        <x:v>Support in case of claim rejection by the EPFO</x:v>
      </x:c>
      <x:c r="D137" s="3" t="str">
        <x:v>Manual/service evidence pending</x:v>
      </x:c>
      <x:c r="E137" s="3" t="str">
        <x:v>R05</x:v>
      </x:c>
      <x:c r="F137" s="3" t="str">
        <x:v>These are government-portal updates, claims, inspection assistance or legislative-monitoring services. No service completion evidence was audited.</x:v>
      </x:c>
      <x:c r="G137" s="3" t="str">
        <x:v>Assign compliance owner and retain portal acknowledgment/claim/notice evidence. HRMS file generation does not discharge these human duties.</x:v>
      </x:c>
      <x:c r="H137" s="3" t="str">
        <x:v>PAY-09; statutory operations</x:v>
      </x:c>
      <x:c r="I137" s="3" t="str">
        <x:v>M01</x:v>
      </x:c>
      <x:c r="J137" s="3" t="str">
        <x:v>cmp.calendar_items, cmp.filing_evidence, cmp.registrations, core.documents, pay.output_artifacts</x:v>
      </x:c>
      <x:c r="K137" s="3" t="str">
        <x:v>Documention_ProtiVity/SOW Tracker .xlsx, docs/10-INDIA-PAYROLL-STATUTORY-REFERENCE.md</x:v>
      </x:c>
    </x:row>
    <x:row r="138" ht="48" customHeight="1">
      <x:c r="A138" s="3" t="str">
        <x:v>SOW-159</x:v>
      </x:c>
      <x:c r="B138" s="3" t="n">
        <x:v>159</x:v>
      </x:c>
      <x:c r="C138" s="3" t="str">
        <x:v>Inspection Assistance / Response to the Notices</x:v>
      </x:c>
      <x:c r="D138" s="3" t="str">
        <x:v>Manual/service evidence pending</x:v>
      </x:c>
      <x:c r="E138" s="3" t="str">
        <x:v>R05</x:v>
      </x:c>
      <x:c r="F138" s="3" t="str">
        <x:v>These are government-portal updates, claims, inspection assistance or legislative-monitoring services. No service completion evidence was audited.</x:v>
      </x:c>
      <x:c r="G138" s="3" t="str">
        <x:v>Assign compliance owner and retain portal acknowledgment/claim/notice evidence. HRMS file generation does not discharge these human duties.</x:v>
      </x:c>
      <x:c r="H138" s="3" t="str">
        <x:v>PAY-09; statutory operations</x:v>
      </x:c>
      <x:c r="I138" s="3" t="str">
        <x:v>M01</x:v>
      </x:c>
      <x:c r="J138" s="3" t="str">
        <x:v>cmp.calendar_items, cmp.filing_evidence, cmp.registrations, core.documents, pay.output_artifacts</x:v>
      </x:c>
      <x:c r="K138" s="3" t="str">
        <x:v>Documention_ProtiVity/SOW Tracker .xlsx, docs/10-INDIA-PAYROLL-STATUTORY-REFERENCE.md</x:v>
      </x:c>
    </x:row>
    <x:row r="139" ht="64" customHeight="1">
      <x:c r="A139" s="3" t="str">
        <x:v>SOW-160</x:v>
      </x:c>
      <x:c r="B139" s="3" t="n">
        <x:v>160</x:v>
      </x:c>
      <x:c r="C139" s="3" t="str">
        <x:v>Legislative Notification / Amendments</x:v>
      </x:c>
      <x:c r="D139" s="3" t="str">
        <x:v>Manual/service evidence pending</x:v>
      </x:c>
      <x:c r="E139" s="3" t="str">
        <x:v>R05</x:v>
      </x:c>
      <x:c r="F139" s="3" t="str">
        <x:v>These are government-portal updates, claims, inspection assistance or legislative-monitoring services. No service completion evidence was audited.</x:v>
      </x:c>
      <x:c r="G139" s="3" t="str">
        <x:v>Assign compliance owner and retain portal acknowledgment/claim/notice evidence. HRMS file generation does not discharge these human duties.</x:v>
      </x:c>
      <x:c r="H139" s="3" t="str">
        <x:v>PAY-09; statutory operations</x:v>
      </x:c>
      <x:c r="I139" s="3" t="str">
        <x:v>P03, D01, M01</x:v>
      </x:c>
      <x:c r="J139" s="3" t="str">
        <x:v>cmp.calendar_items, cmp.filing_evidence, cmp.registrations, core.documents, pay.investment_declarations, pay.it_slabs, pay.output_artifacts, pay.previous_employer_income, pay.pt_slabs, pay.statutory_memberships, pay.statutory_postings, pay.statutory_rates, pay.tax_elections, pay.tds_challans</x:v>
      </x:c>
      <x:c r="K139" s="3" t="str">
        <x:v>Documention_ProtiVity/SOW Tracker .xlsx, docs/10-INDIA-PAYROLL-STATUTORY-REFERENCE.md</x:v>
      </x:c>
    </x:row>
    <x:row r="140" ht="48" customHeight="1">
      <x:c r="A140" s="3" t="str">
        <x:v>SOW-162</x:v>
      </x:c>
      <x:c r="B140" s="3" t="n">
        <x:v>162</x:v>
      </x:c>
      <x:c r="C140" s="3" t="str">
        <x:v>IP number generation, e-Pehchan card issuance.</x:v>
      </x:c>
      <x:c r="D140" s="3" t="str">
        <x:v>Manual/service evidence pending</x:v>
      </x:c>
      <x:c r="E140" s="3" t="str">
        <x:v>R05</x:v>
      </x:c>
      <x:c r="F140" s="3" t="str">
        <x:v>These involve ESIC portal registration/cards/returns, family updates, paid challans or office corrections.</x:v>
      </x:c>
      <x:c r="G140" s="3" t="str">
        <x:v>Assign HR/compliance owner and retain actual portal/office receipts. Master family schema is not proof of ESIC portal submission.</x:v>
      </x:c>
      <x:c r="H140" s="3" t="str">
        <x:v>PAY-10; statutory operations</x:v>
      </x:c>
      <x:c r="I140" s="3" t="str">
        <x:v>M01</x:v>
      </x:c>
      <x:c r="J140" s="3" t="str">
        <x:v>cmp.calendar_items, cmp.filing_evidence, cmp.registrations, core.documents, pay.output_artifacts</x:v>
      </x:c>
      <x:c r="K140" s="3" t="str">
        <x:v>Documention_ProtiVity/SOW Tracker .xlsx, docs/10-INDIA-PAYROLL-STATUTORY-REFERENCE.md</x:v>
      </x:c>
    </x:row>
    <x:row r="141" ht="77" customHeight="1">
      <x:c r="A141" s="3" t="str">
        <x:v>SOW-163</x:v>
      </x:c>
      <x:c r="B141" s="3" t="n">
        <x:v>163</x:v>
      </x:c>
      <x:c r="C141" s="3" t="str">
        <x:v>ESIC contributions reporting &amp; challan generation</x:v>
      </x:c>
      <x:c r="D141" s="3" t="str">
        <x:v>Blocked by reviewed defects</x:v>
      </x:c>
      <x:c r="E141" s="3" t="str">
        <x:v>R05</x:v>
      </x:c>
      <x:c r="F141" s="3" t="str">
        <x:v>ESIC reporting/file generation is specified.</x:v>
      </x:c>
      <x:c r="G141" s="3" t="str">
        <x:v>Build contribution-period engine and return/challan data export; human creates/remits portal challan and records proof.</x:v>
      </x:c>
      <x:c r="H141" s="3" t="str">
        <x:v>PAY-10</x:v>
      </x:c>
      <x:c r="I141" s="3" t="str">
        <x:v>P03, P04, D01</x:v>
      </x:c>
      <x:c r="J141" s="3" t="str">
        <x:v>core.documents, pay.bank_batch_lines, pay.bank_batches, pay.gl_accounts, pay.investment_declarations, pay.it_slabs, pay.journal_batches, pay.journal_lines, pay.output_artifacts, pay.payment_events, pay.payment_obligations, pay.previous_employer_income, pay.pt_slabs, pay.statutory_memberships, pay.statutory_postings, pay.statutory_rates, pay.tax_elections, pay.tds_challans</x:v>
      </x:c>
      <x:c r="K141" s="3" t="str">
        <x:v>plans/phase-2-payroll-statutory.md, backend/src/api/router.ts, frontend/src/pages/payroll/PayrollPage.tsx</x:v>
      </x:c>
    </x:row>
    <x:row r="142" ht="48" customHeight="1">
      <x:c r="A142" s="3" t="str">
        <x:v>SOW-164</x:v>
      </x:c>
      <x:c r="B142" s="3" t="n">
        <x:v>164</x:v>
      </x:c>
      <x:c r="C142" s="3" t="str">
        <x:v>ESIC half-yearly submission &amp; compliance audits</x:v>
      </x:c>
      <x:c r="D142" s="3" t="str">
        <x:v>Manual/service evidence pending</x:v>
      </x:c>
      <x:c r="E142" s="3" t="str">
        <x:v>R05</x:v>
      </x:c>
      <x:c r="F142" s="3" t="str">
        <x:v>These involve ESIC portal registration/cards/returns, family updates, paid challans or office corrections.</x:v>
      </x:c>
      <x:c r="G142" s="3" t="str">
        <x:v>Assign HR/compliance owner and retain actual portal/office receipts. Master family schema is not proof of ESIC portal submission.</x:v>
      </x:c>
      <x:c r="H142" s="3" t="str">
        <x:v>PAY-10; statutory operations</x:v>
      </x:c>
      <x:c r="I142" s="3" t="str">
        <x:v>D01, M01</x:v>
      </x:c>
      <x:c r="J142" s="3" t="str">
        <x:v>cmp.calendar_items, cmp.filing_evidence, cmp.registrations, core.documents, pay.output_artifacts</x:v>
      </x:c>
      <x:c r="K142" s="3" t="str">
        <x:v>Documention_ProtiVity/SOW Tracker .xlsx, docs/10-INDIA-PAYROLL-STATUTORY-REFERENCE.md</x:v>
      </x:c>
    </x:row>
    <x:row r="143" ht="48" customHeight="1">
      <x:c r="A143" s="3" t="str">
        <x:v>SOW-165</x:v>
      </x:c>
      <x:c r="B143" s="3" t="n">
        <x:v>165</x:v>
      </x:c>
      <x:c r="C143" s="3" t="str">
        <x:v>Updating of family members details</x:v>
      </x:c>
      <x:c r="D143" s="3" t="str">
        <x:v>Manual/service evidence pending</x:v>
      </x:c>
      <x:c r="E143" s="3" t="str">
        <x:v>R05</x:v>
      </x:c>
      <x:c r="F143" s="3" t="str">
        <x:v>These involve ESIC portal registration/cards/returns, family updates, paid challans or office corrections.</x:v>
      </x:c>
      <x:c r="G143" s="3" t="str">
        <x:v>Assign HR/compliance owner and retain actual portal/office receipts. Master family schema is not proof of ESIC portal submission.</x:v>
      </x:c>
      <x:c r="H143" s="3" t="str">
        <x:v>PAY-10; statutory operations</x:v>
      </x:c>
      <x:c r="I143" s="3" t="str">
        <x:v>M01</x:v>
      </x:c>
      <x:c r="J143" s="3" t="str">
        <x:v>cmp.calendar_items, cmp.filing_evidence, cmp.registrations, core.documents, pay.output_artifacts</x:v>
      </x:c>
      <x:c r="K143" s="3" t="str">
        <x:v>Documention_ProtiVity/SOW Tracker .xlsx, docs/10-INDIA-PAYROLL-STATUTORY-REFERENCE.md</x:v>
      </x:c>
    </x:row>
    <x:row r="144" ht="48" customHeight="1">
      <x:c r="A144" s="3" t="str">
        <x:v>SOW-166</x:v>
      </x:c>
      <x:c r="B144" s="3" t="n">
        <x:v>166</x:v>
      </x:c>
      <x:c r="C144" s="3" t="str">
        <x:v>Sharing ESIC Remitted Challan – Once the payment is made, Rashmi Metaliks Limited to download the paid challan from the ESIC Portal.</x:v>
      </x:c>
      <x:c r="D144" s="3" t="str">
        <x:v>Manual/service evidence pending</x:v>
      </x:c>
      <x:c r="E144" s="3" t="str">
        <x:v>R05</x:v>
      </x:c>
      <x:c r="F144" s="3" t="str">
        <x:v>These involve ESIC portal registration/cards/returns, family updates, paid challans or office corrections.</x:v>
      </x:c>
      <x:c r="G144" s="3" t="str">
        <x:v>Assign HR/compliance owner and retain actual portal/office receipts. Master family schema is not proof of ESIC portal submission.</x:v>
      </x:c>
      <x:c r="H144" s="3" t="str">
        <x:v>PAY-10; statutory operations</x:v>
      </x:c>
      <x:c r="I144" s="3" t="str">
        <x:v>M01</x:v>
      </x:c>
      <x:c r="J144" s="3" t="str">
        <x:v>cmp.calendar_items, cmp.filing_evidence, cmp.registrations, core.documents, pay.output_artifacts</x:v>
      </x:c>
      <x:c r="K144" s="3" t="str">
        <x:v>Documention_ProtiVity/SOW Tracker .xlsx, docs/10-INDIA-PAYROLL-STATUTORY-REFERENCE.md</x:v>
      </x:c>
    </x:row>
    <x:row r="145" ht="48" customHeight="1">
      <x:c r="A145" s="3" t="str">
        <x:v>SOW-167</x:v>
      </x:c>
      <x:c r="B145" s="3" t="n">
        <x:v>167</x:v>
      </x:c>
      <x:c r="C145" s="3" t="str">
        <x:v>Documents Submission to ESIC Office for Employee Name, DOJ &amp; Gender Correction (Protiviti Presence location)</x:v>
      </x:c>
      <x:c r="D145" s="3" t="str">
        <x:v>Manual/service evidence pending</x:v>
      </x:c>
      <x:c r="E145" s="3" t="str">
        <x:v>R05</x:v>
      </x:c>
      <x:c r="F145" s="3" t="str">
        <x:v>These involve ESIC portal registration/cards/returns, family updates, paid challans or office corrections.</x:v>
      </x:c>
      <x:c r="G145" s="3" t="str">
        <x:v>Assign HR/compliance owner and retain actual portal/office receipts. Master family schema is not proof of ESIC portal submission.</x:v>
      </x:c>
      <x:c r="H145" s="3" t="str">
        <x:v>PAY-10; statutory operations</x:v>
      </x:c>
      <x:c r="I145" s="3" t="str">
        <x:v>M01</x:v>
      </x:c>
      <x:c r="J145" s="3" t="str">
        <x:v>cmp.calendar_items, cmp.filing_evidence, cmp.registrations, core.documents, pay.output_artifacts</x:v>
      </x:c>
      <x:c r="K145" s="3" t="str">
        <x:v>Documention_ProtiVity/SOW Tracker .xlsx, docs/10-INDIA-PAYROLL-STATUTORY-REFERENCE.md</x:v>
      </x:c>
    </x:row>
    <x:row r="146" ht="48" customHeight="1">
      <x:c r="A146" s="3" t="str">
        <x:v>SOW-168</x:v>
      </x:c>
      <x:c r="B146" s="3" t="n">
        <x:v>168</x:v>
      </x:c>
      <x:c r="C146" s="3" t="str">
        <x:v>Updating of Employer Details (Company Name, Address)</x:v>
      </x:c>
      <x:c r="D146" s="3" t="str">
        <x:v>Manual/service evidence pending</x:v>
      </x:c>
      <x:c r="E146" s="3" t="str">
        <x:v>R05</x:v>
      </x:c>
      <x:c r="F146" s="3" t="str">
        <x:v>These involve ESIC portal registration/cards/returns, family updates, paid challans or office corrections.</x:v>
      </x:c>
      <x:c r="G146" s="3" t="str">
        <x:v>Assign HR/compliance owner and retain actual portal/office receipts. Master family schema is not proof of ESIC portal submission.</x:v>
      </x:c>
      <x:c r="H146" s="3" t="str">
        <x:v>PAY-10; statutory operations</x:v>
      </x:c>
      <x:c r="I146" s="3" t="str">
        <x:v>M01</x:v>
      </x:c>
      <x:c r="J146" s="3" t="str">
        <x:v>cmp.calendar_items, cmp.filing_evidence, cmp.registrations, core.documents, pay.output_artifacts</x:v>
      </x:c>
      <x:c r="K146" s="3" t="str">
        <x:v>Documention_ProtiVity/SOW Tracker .xlsx, docs/10-INDIA-PAYROLL-STATUTORY-REFERENCE.md</x:v>
      </x:c>
    </x:row>
    <x:row r="147" ht="77" customHeight="1">
      <x:c r="A147" s="3" t="str">
        <x:v>SOW-170</x:v>
      </x:c>
      <x:c r="B147" s="3" t="n">
        <x:v>170</x:v>
      </x:c>
      <x:c r="C147" s="3" t="str">
        <x:v>PT computation, reporting &amp; online remittance support</x:v>
      </x:c>
      <x:c r="D147" s="3" t="str">
        <x:v>Blocked by reviewed defects</x:v>
      </x:c>
      <x:c r="E147" s="3" t="str">
        <x:v>R42</x:v>
      </x:c>
      <x:c r="F147" s="3" t="str">
        <x:v>PT computation/register is specified.</x:v>
      </x:c>
      <x:c r="G147" s="3" t="str">
        <x:v>Build configured PT engine/report; named compliance owner handles online remittance and proof.</x:v>
      </x:c>
      <x:c r="H147" s="3" t="str">
        <x:v>PAY-11</x:v>
      </x:c>
      <x:c r="I147" s="3" t="str">
        <x:v>P03, P04, D01</x:v>
      </x:c>
      <x:c r="J147" s="3" t="str">
        <x:v>core.documents, pay.bank_batch_lines, pay.bank_batches, pay.gl_accounts, pay.investment_declarations, pay.it_slabs, pay.journal_batches, pay.journal_lines, pay.output_artifacts, pay.payment_events, pay.payment_obligations, pay.previous_employer_income, pay.pt_slabs, pay.statutory_memberships, pay.statutory_postings, pay.statutory_rates, pay.tax_elections, pay.tds_challans</x:v>
      </x:c>
      <x:c r="K147" s="3" t="str">
        <x:v>plans/phase-2-payroll-statutory.md, backend/src/api/router.ts, frontend/src/pages/payroll/PayrollPage.tsx</x:v>
      </x:c>
    </x:row>
    <x:row r="148" ht="48" customHeight="1">
      <x:c r="A148" s="3" t="str">
        <x:v>SOW-171</x:v>
      </x:c>
      <x:c r="B148" s="3" t="n">
        <x:v>171</x:v>
      </x:c>
      <x:c r="C148" s="3" t="str">
        <x:v>PT enrollment &amp; renewal processing</x:v>
      </x:c>
      <x:c r="D148" s="3" t="str">
        <x:v>Manual/service evidence pending</x:v>
      </x:c>
      <x:c r="E148" s="3" t="str">
        <x:v>R42</x:v>
      </x:c>
      <x:c r="F148" s="3" t="str">
        <x:v>Enrollment, establishment tax/payment, acknowledged challans and notice support are human/service activities.</x:v>
      </x:c>
      <x:c r="G148" s="3" t="str">
        <x:v>Confirm legal entity owner and retain enrollment/return/payment/notice evidence. Do not treat historical 100% as current completion.</x:v>
      </x:c>
      <x:c r="H148" s="3" t="str">
        <x:v>PAY-11; statutory operations</x:v>
      </x:c>
      <x:c r="I148" s="3" t="str">
        <x:v>M01</x:v>
      </x:c>
      <x:c r="J148" s="3" t="str">
        <x:v>cmp.calendar_items, cmp.filing_evidence, cmp.registrations, core.documents, pay.output_artifacts</x:v>
      </x:c>
      <x:c r="K148" s="3" t="str">
        <x:v>Documention_ProtiVity/SOW Tracker .xlsx, docs/10-INDIA-PAYROLL-STATUTORY-REFERENCE.md</x:v>
      </x:c>
    </x:row>
    <x:row r="149" ht="48" customHeight="1">
      <x:c r="A149" s="3" t="str">
        <x:v>SOW-172</x:v>
      </x:c>
      <x:c r="B149" s="3" t="n">
        <x:v>172</x:v>
      </x:c>
      <x:c r="C149" s="3" t="str">
        <x:v>PT - Enrolment Certificate - Remittance</x:v>
      </x:c>
      <x:c r="D149" s="3" t="str">
        <x:v>Manual/service evidence pending</x:v>
      </x:c>
      <x:c r="E149" s="3" t="str">
        <x:v>R42</x:v>
      </x:c>
      <x:c r="F149" s="3" t="str">
        <x:v>Enrollment, establishment tax/payment, acknowledged challans and notice support are human/service activities.</x:v>
      </x:c>
      <x:c r="G149" s="3" t="str">
        <x:v>Confirm legal entity owner and retain enrollment/return/payment/notice evidence. Do not treat historical 100% as current completion.</x:v>
      </x:c>
      <x:c r="H149" s="3" t="str">
        <x:v>PAY-11; statutory operations</x:v>
      </x:c>
      <x:c r="I149" s="3" t="str">
        <x:v>M01</x:v>
      </x:c>
      <x:c r="J149" s="3" t="str">
        <x:v>cmp.calendar_items, cmp.filing_evidence, cmp.registrations, core.documents, pay.output_artifacts</x:v>
      </x:c>
      <x:c r="K149" s="3" t="str">
        <x:v>Documention_ProtiVity/SOW Tracker .xlsx, docs/10-INDIA-PAYROLL-STATUTORY-REFERENCE.md</x:v>
      </x:c>
    </x:row>
    <x:row r="150" ht="48" customHeight="1">
      <x:c r="A150" s="3" t="str">
        <x:v>SOW-173</x:v>
      </x:c>
      <x:c r="B150" s="3" t="n">
        <x:v>173</x:v>
      </x:c>
      <x:c r="C150" s="3" t="str">
        <x:v>PT - Enrolment Certificate - Returns</x:v>
      </x:c>
      <x:c r="D150" s="3" t="str">
        <x:v>Manual/service evidence pending</x:v>
      </x:c>
      <x:c r="E150" s="3" t="str">
        <x:v>R42</x:v>
      </x:c>
      <x:c r="F150" s="3" t="str">
        <x:v>Enrollment, establishment tax/payment, acknowledged challans and notice support are human/service activities.</x:v>
      </x:c>
      <x:c r="G150" s="3" t="str">
        <x:v>Confirm legal entity owner and retain enrollment/return/payment/notice evidence. Do not treat historical 100% as current completion.</x:v>
      </x:c>
      <x:c r="H150" s="3" t="str">
        <x:v>PAY-11; statutory operations</x:v>
      </x:c>
      <x:c r="I150" s="3" t="str">
        <x:v>M01</x:v>
      </x:c>
      <x:c r="J150" s="3" t="str">
        <x:v>cmp.calendar_items, cmp.filing_evidence, cmp.registrations, core.documents, pay.output_artifacts</x:v>
      </x:c>
      <x:c r="K150" s="3" t="str">
        <x:v>Documention_ProtiVity/SOW Tracker .xlsx, docs/10-INDIA-PAYROLL-STATUTORY-REFERENCE.md</x:v>
      </x:c>
    </x:row>
    <x:row r="151" ht="48" customHeight="1">
      <x:c r="A151" s="3" t="str">
        <x:v>SOW-174</x:v>
      </x:c>
      <x:c r="B151" s="3" t="n">
        <x:v>174</x:v>
      </x:c>
      <x:c r="C151" s="3" t="str">
        <x:v>Company Tax Remittance</x:v>
      </x:c>
      <x:c r="D151" s="3" t="str">
        <x:v>Manual/service evidence pending</x:v>
      </x:c>
      <x:c r="E151" s="3" t="str">
        <x:v>R42</x:v>
      </x:c>
      <x:c r="F151" s="3" t="str">
        <x:v>Enrollment, establishment tax/payment, acknowledged challans and notice support are human/service activities.</x:v>
      </x:c>
      <x:c r="G151" s="3" t="str">
        <x:v>Confirm legal entity owner and retain enrollment/return/payment/notice evidence. Do not treat historical 100% as current completion.</x:v>
      </x:c>
      <x:c r="H151" s="3" t="str">
        <x:v>PAY-11; statutory operations</x:v>
      </x:c>
      <x:c r="I151" s="3" t="str">
        <x:v>M01</x:v>
      </x:c>
      <x:c r="J151" s="3" t="str">
        <x:v>cmp.calendar_items, cmp.filing_evidence, cmp.registrations, core.documents, pay.output_artifacts</x:v>
      </x:c>
      <x:c r="K151" s="3" t="str">
        <x:v>Documention_ProtiVity/SOW Tracker .xlsx, docs/10-INDIA-PAYROLL-STATUTORY-REFERENCE.md</x:v>
      </x:c>
    </x:row>
    <x:row r="152" ht="51" customHeight="1">
      <x:c r="A152" s="3" t="str">
        <x:v>SOW-175</x:v>
      </x:c>
      <x:c r="B152" s="3" t="n">
        <x:v>175</x:v>
      </x:c>
      <x:c r="C152" s="3" t="str">
        <x:v>Sharing remitted /acknowledged challans</x:v>
      </x:c>
      <x:c r="D152" s="3" t="str">
        <x:v>Manual/service evidence pending</x:v>
      </x:c>
      <x:c r="E152" s="3" t="str">
        <x:v>R42</x:v>
      </x:c>
      <x:c r="F152" s="3" t="str">
        <x:v>Enrollment, establishment tax/payment, acknowledged challans and notice support are human/service activities.</x:v>
      </x:c>
      <x:c r="G152" s="3" t="str">
        <x:v>Confirm legal entity owner and retain enrollment/return/payment/notice evidence. Do not treat historical 100% as current completion.</x:v>
      </x:c>
      <x:c r="H152" s="3" t="str">
        <x:v>PAY-11; statutory operations</x:v>
      </x:c>
      <x:c r="I152" s="3" t="str">
        <x:v>P04, M01</x:v>
      </x:c>
      <x:c r="J152" s="3" t="str">
        <x:v>cmp.calendar_items, cmp.filing_evidence, cmp.registrations, core.documents, pay.bank_batch_lines, pay.bank_batches, pay.gl_accounts, pay.journal_batches, pay.journal_lines, pay.output_artifacts, pay.payment_events, pay.payment_obligations</x:v>
      </x:c>
      <x:c r="K152" s="3" t="str">
        <x:v>Documention_ProtiVity/SOW Tracker .xlsx, docs/10-INDIA-PAYROLL-STATUTORY-REFERENCE.md</x:v>
      </x:c>
    </x:row>
    <x:row r="153" ht="48" customHeight="1">
      <x:c r="A153" s="3" t="str">
        <x:v>SOW-176</x:v>
      </x:c>
      <x:c r="B153" s="3" t="n">
        <x:v>176</x:v>
      </x:c>
      <x:c r="C153" s="3" t="str">
        <x:v>Inspection Assistance / Response to the Notices</x:v>
      </x:c>
      <x:c r="D153" s="3" t="str">
        <x:v>Manual/service evidence pending</x:v>
      </x:c>
      <x:c r="E153" s="3" t="str">
        <x:v>R42</x:v>
      </x:c>
      <x:c r="F153" s="3" t="str">
        <x:v>Enrollment, establishment tax/payment, acknowledged challans and notice support are human/service activities.</x:v>
      </x:c>
      <x:c r="G153" s="3" t="str">
        <x:v>Confirm legal entity owner and retain enrollment/return/payment/notice evidence. Do not treat historical 100% as current completion.</x:v>
      </x:c>
      <x:c r="H153" s="3" t="str">
        <x:v>PAY-11; statutory operations</x:v>
      </x:c>
      <x:c r="I153" s="3" t="str">
        <x:v>M01</x:v>
      </x:c>
      <x:c r="J153" s="3" t="str">
        <x:v>cmp.calendar_items, cmp.filing_evidence, cmp.registrations, core.documents, pay.output_artifacts</x:v>
      </x:c>
      <x:c r="K153" s="3" t="str">
        <x:v>Documention_ProtiVity/SOW Tracker .xlsx, docs/10-INDIA-PAYROLL-STATUTORY-REFERENCE.md</x:v>
      </x:c>
    </x:row>
    <x:row r="154" ht="77" customHeight="1">
      <x:c r="A154" s="3" t="str">
        <x:v>SOW-178</x:v>
      </x:c>
      <x:c r="B154" s="3" t="n">
        <x:v>178</x:v>
      </x:c>
      <x:c r="C154" s="3" t="str">
        <x:v>LWF data upload, challan generation &amp; payment facilitation</x:v>
      </x:c>
      <x:c r="D154" s="3" t="str">
        <x:v>Blocked by reviewed defects</x:v>
      </x:c>
      <x:c r="E154" s="3" t="str">
        <x:v>R05</x:v>
      </x:c>
      <x:c r="F154" s="3" t="str">
        <x:v>LWF register/file generation is specified.</x:v>
      </x:c>
      <x:c r="G154" s="3" t="str">
        <x:v>Build LWF periodic computation/export; compliance owner performs upload/challan/payment and stores receipts.</x:v>
      </x:c>
      <x:c r="H154" s="3" t="str">
        <x:v>PAY-12</x:v>
      </x:c>
      <x:c r="I154" s="3" t="str">
        <x:v>P03, P04, D01</x:v>
      </x:c>
      <x:c r="J154" s="3" t="str">
        <x:v>core.documents, pay.bank_batch_lines, pay.bank_batches, pay.gl_accounts, pay.investment_declarations, pay.it_slabs, pay.journal_batches, pay.journal_lines, pay.output_artifacts, pay.payment_events, pay.payment_obligations, pay.previous_employer_income, pay.pt_slabs, pay.statutory_memberships, pay.statutory_postings, pay.statutory_rates, pay.tax_elections, pay.tds_challans</x:v>
      </x:c>
      <x:c r="K154" s="3" t="str">
        <x:v>plans/phase-2-payroll-statutory.md, backend/src/api/router.ts, frontend/src/pages/payroll/PayrollPage.tsx</x:v>
      </x:c>
    </x:row>
    <x:row r="155" ht="48" customHeight="1">
      <x:c r="A155" s="3" t="str">
        <x:v>SOW-179</x:v>
      </x:c>
      <x:c r="B155" s="3" t="n">
        <x:v>179</x:v>
      </x:c>
      <x:c r="C155" s="3" t="str">
        <x:v>LWF inspection assistance &amp; compliance reporting</x:v>
      </x:c>
      <x:c r="D155" s="3" t="str">
        <x:v>Manual/service evidence pending</x:v>
      </x:c>
      <x:c r="E155" s="3" t="str">
        <x:v>R05</x:v>
      </x:c>
      <x:c r="F155" s="3" t="str">
        <x:v>LWF inspection assistance is a service duty, not established by repository code.</x:v>
      </x:c>
      <x:c r="G155" s="3" t="str">
        <x:v>Assign owner; retain inspection response and compliance evidence.</x:v>
      </x:c>
      <x:c r="H155" s="3" t="str">
        <x:v>PAY-12; statutory operations</x:v>
      </x:c>
      <x:c r="I155" s="3" t="str">
        <x:v>M01</x:v>
      </x:c>
      <x:c r="J155" s="3" t="str">
        <x:v>cmp.calendar_items, cmp.filing_evidence, cmp.registrations, core.documents, pay.output_artifacts</x:v>
      </x:c>
      <x:c r="K155" s="3" t="str">
        <x:v>Documention_ProtiVity/SOW Tracker .xlsx, docs/10-INDIA-PAYROLL-STATUTORY-REFERENCE.md</x:v>
      </x:c>
    </x:row>
    <x:row r="156" ht="194" customHeight="1">
      <x:c r="A156" s="3" t="str">
        <x:v>SOW-181</x:v>
      </x:c>
      <x:c r="B156" s="3" t="n">
        <x:v>181</x:v>
      </x:c>
      <x:c r="C156" s="3" t="str">
        <x:v>providing Employee Access:
  Payslips, tax computation slips, Form 16.
  Investment declarations &amp; reimbursement claims.
  Tax calculator &amp; helpdesk ticketing</x:v>
      </x:c>
      <x:c r="D156" s="3" t="str">
        <x:v>Blocked by reviewed defects</x:v>
      </x:c>
      <x:c r="E156" s="3" t="str">
        <x:v>R01, R05, R12, R13, R25, R27, R28, R29, R30, R33, R38</x:v>
      </x:c>
      <x:c r="F156" s="3" t="str">
        <x:v>Employee helpdesk and ESS shell exist.</x:v>
      </x:c>
      <x:c r="G156" s="3" t="str">
        <x:v>Build payslip/tax/Form16 downloads, investment declarations, claims and tax calculator. Helpdesk ticket access also needs ownership checks.</x:v>
      </x:c>
      <x:c r="H156" s="3" t="str">
        <x:v>PAY-06/13, CLM-02, HD-01</x:v>
      </x:c>
      <x:c r="I156" s="3" t="str">
        <x:v>F03, P03, P04, P06, L05, W02, W04, T02, D03</x:v>
      </x:c>
      <x:c r="J156" s="3" t="str">
        <x:v>core.audit_log, core.clearances, core.documents, core.employee_assignments, core.letters, core.password_reset_tokens, core.permissions, core.role_permissions, core.roles, core.separations, core.settings, core.user_roles, core.users, hd.categories, hd.escalation_rules, hd.ticket_events, hd.ticket_messages, hd.tickets, lv.ledger, pay.bank_batch_lines, pay.bank_batches, pay.budget_categories, pay.budgets, pay.claim_bills, pay.claim_entitlements, pay.claim_lines, pay.claim_reservations, pay.claim_types, pay.claims, pay.fnf_settlements, pay.gl_accounts, pay.investment_declarations, pay.it_slabs, pay.journal_batches, pay.journal_lines, pay.output_artifacts, pay.payment_events, pay.payment_obligations, pay.payroll_item_lines, pay.payroll_items, pay.payroll_runs, pay.previous_employer_income, pay.pt_slabs, pay.source_consumptions, pay.statutory_memberships, pay.statutory_postings, pay.statutory_rates, pay.tax_elections, pay.tds_challans, reporting.kpi_daily, reporting.muster_month, reporting.snapshot_builds, sec.sessions, te.advances, te.settlement_advances, te.settlements, te.wallet_postings, wf.notifications</x:v>
      </x:c>
      <x:c r="K156" s="3" t="str">
        <x:v>backend/src/modules/helpdesk/helpdesk.router.ts, backend/src/modules/helpdesk/helpdesk.service.ts, backend/tests/helpdesk.integration.test.ts, frontend/src/pages/workplace/HelpdeskPage.tsx, plans/phase-2-payroll-statutory.md, backend/src/api/router.ts, frontend/src/pages/payroll/PayrollPage.tsx</x:v>
      </x:c>
    </x:row>
    <x:row r="157" ht="363" customHeight="1">
      <x:c r="A157" s="3" t="str">
        <x:v>SOW-182</x:v>
      </x:c>
      <x:c r="B157" s="3" t="n">
        <x:v>182</x:v>
      </x:c>
      <x:c r="C157" s="3" t="str">
        <x:v>providing HR &amp; Payroll SPOC Access:
  Bulk download of payroll &amp; compliance reports.
  Employee onboarding &amp; document management.
 Payroll discrepancy tracking &amp; query resolution</x:v>
      </x:c>
      <x:c r="D157" s="3" t="str">
        <x:v>Blocked by reviewed defects</x:v>
      </x:c>
      <x:c r="E157" s="3" t="str">
        <x:v>R13, R14, R18, R33, R34, R35, R45</x:v>
      </x:c>
      <x:c r="F157" s="3" t="str">
        <x:v>Letters archive, generic helpdesk and selected HR report exports exist.</x:v>
      </x:c>
      <x:c r="G157" s="3" t="str">
        <x:v>Build payroll bulk/compliance downloads, full onboarding/document workflow and discrepancy tracking linked to payroll.</x:v>
      </x:c>
      <x:c r="H157" s="3" t="str">
        <x:v>CORE-09, LC-01, PAY-05, HD-01</x:v>
      </x:c>
      <x:c r="I157" s="3" t="str">
        <x:v>F01, F03, P04, W02, W04</x:v>
      </x:c>
      <x:c r="J157" s="3" t="str">
        <x:v>ast.assets, ast.assignments, ast.maintenance, att.absence_cases, att.coverage_targets, att.day_records, att.device_watermarks, att.devices, att.employee_shifts, att.holidays, att.ingest_watermarks, att.leave_blackouts, att.manager_month_approvals, att.month_locks, att.overtime_entries, att.quarantined_swipes, att.recompute_queue, att.regularizations, att.roster_publications, att.roster_revisions, att.rosters, att.shift_patterns, att.shift_swaps, att.shifts, att.swipe_events, cmp.calendar_items, cmp.filing_evidence, cmp.registrations, core.audit_log, core.companies, core.cost_centers, core.departments, core.designations, core.documents, core.employee_assignments, core.employee_family, core.employee_history, core.employees, core.grades, core.letter_templates, core.letters, core.locations, core.mis_codes, core.org_units, core.password_reset_tokens, core.permissions, core.plants, core.policies, core.policy_acknowledgments, core.profile_change_requests, core.reporting_tree, core.role_permissions, core.roles, core.settings, core.user_roles, core.users, doc.types, eng.announcements, eng.poll_responses, eng.polls, hd.categories, hd.escalation_rules, hd.ticket_events, hd.ticket_messages, hd.tickets, ird.grievances, ird.ic_members, ird.posh_case_access_log, ird.posh_cases, ird.whistleblower_reports, lv.applications, lv.leave_types, lv.ledger, lv.restricted_holidays, lv.rh_selections, pay.bank_batch_lines, pay.bank_batches, pay.budget_categories, pay.budgets, pay.claim_lines, pay.claim_reservations, pay.claim_types, pay.claims, pay.gl_accounts, pay.journal_batches, pay.journal_lines, pay.output_artifacts, pay.payment_events, pay.payment_obligations, pay.payroll_item_lines, pay.payroll_items, pay.source_consumptions, prv.breach_register, prv.consent_events, prv.consents, prv.legal_holds, prv.notice_acks, prv.notices, prv.processing_register, prv.processors, prv.purge_log, prv.purge_proposals, prv.retention_rules, prv.rights_requests, reporting.kpi_daily, reporting.muster_month, reporting.snapshot_builds, sec.access_events, sec.mfa_enrolments, sec.mfa_recovery_codes, sec.password_history, sec.sessions, wf.definitions, wf.delegations, wf.event_subscriptions, wf.notifications, wf.request_steps, wf.requests</x:v>
      </x:c>
      <x:c r="K157" s="3" t="str">
        <x:v>backend/src/modules/helpdesk/helpdesk.router.ts, backend/src/modules/helpdesk/helpdesk.service.ts, backend/tests/helpdesk.integration.test.ts, frontend/src/pages/workplace/HelpdeskPage.tsx, plans/phase-2-payroll-statutory.md, backend/src/api/router.ts, frontend/src/pages/payroll/PayrollPage.tsx, plans/phase-3-lifecycle-assets-executive.md, backend/src/modules/lifecycle/lifecycle.router.ts, frontend/src/pages/lifecycle/LifecyclePage.tsx</x:v>
      </x:c>
    </x:row>
    <x:row r="158" ht="64" customHeight="1">
      <x:c r="A158" s="3" t="str">
        <x:v>SOW-184</x:v>
      </x:c>
      <x:c r="B158" s="3" t="n">
        <x:v>184</x:v>
      </x:c>
      <x:c r="C158" s="3" t="str">
        <x:v>Annual Bonus &amp; Increment Processing:</x:v>
      </x:c>
      <x:c r="D158" s="3" t="str">
        <x:v>Blocked by reviewed defects</x:v>
      </x:c>
      <x:c r="E158" s="3" t="str">
        <x:v>R05, R28, R29, R30, R38</x:v>
      </x:c>
      <x:c r="F158" s="3" t="str">
        <x:v>Annual bonus/increment and tax year-end processes are specified.</x:v>
      </x:c>
      <x:c r="G158" s="3" t="str">
        <x:v>Build bonus true-up/increments or year-end TDS adjustments and prove fixtures; annual use-case absence is not completion.</x:v>
      </x:c>
      <x:c r="H158" s="3" t="str">
        <x:v>PAY-17/13</x:v>
      </x:c>
      <x:c r="I158" s="3" t="str">
        <x:v>P01, P07</x:v>
      </x:c>
      <x:c r="J158" s="3" t="str">
        <x:v>core.employee_assignments, core.import_batches, core.probation_reviews, pay.arrears, pay.employee_salaries, pay.output_artifacts, pay.parallel_comparison_lines, pay.parallel_comparisons, pay.payroll_runs, pay.salary_components, pay.salary_structure_versions, pay.salary_structures, pay.statutory_postings</x:v>
      </x:c>
      <x:c r="K158" s="3" t="str">
        <x:v>plans/phase-2-payroll-statutory.md, backend/src/api/router.ts, frontend/src/pages/payroll/PayrollPage.tsx</x:v>
      </x:c>
    </x:row>
    <x:row r="159" ht="103" customHeight="1">
      <x:c r="A159" s="3" t="str">
        <x:v>SOW-185</x:v>
      </x:c>
      <x:c r="B159" s="3" t="n">
        <x:v>185</x:v>
      </x:c>
      <x:c r="C159" s="3" t="str">
        <x:v>Tax Deduction &amp; Year-End Adjustments</x:v>
      </x:c>
      <x:c r="D159" s="3" t="str">
        <x:v>Blocked by reviewed defects</x:v>
      </x:c>
      <x:c r="E159" s="3" t="str">
        <x:v>R05, R28, R29, R30, R38</x:v>
      </x:c>
      <x:c r="F159" s="3" t="str">
        <x:v>Annual bonus/increment and tax year-end processes are specified.</x:v>
      </x:c>
      <x:c r="G159" s="3" t="str">
        <x:v>Build bonus true-up/increments or year-end TDS adjustments and prove fixtures; annual use-case absence is not completion.</x:v>
      </x:c>
      <x:c r="H159" s="3" t="str">
        <x:v>PAY-17/13</x:v>
      </x:c>
      <x:c r="I159" s="3" t="str">
        <x:v>P03, P06, P07, D01</x:v>
      </x:c>
      <x:c r="J159" s="3" t="str">
        <x:v>core.documents, core.import_batches, pay.arrears, pay.budget_categories, pay.budgets, pay.claim_bills, pay.claim_entitlements, pay.claim_lines, pay.claim_reservations, pay.claim_types, pay.claims, pay.investment_declarations, pay.it_slabs, pay.output_artifacts, pay.parallel_comparison_lines, pay.parallel_comparisons, pay.payment_obligations, pay.payroll_runs, pay.previous_employer_income, pay.pt_slabs, pay.source_consumptions, pay.statutory_memberships, pay.statutory_postings, pay.statutory_rates, pay.tax_elections, pay.tds_challans</x:v>
      </x:c>
      <x:c r="K159" s="3" t="str">
        <x:v>plans/phase-2-payroll-statutory.md, backend/src/api/router.ts, frontend/src/pages/payroll/PayrollPage.tsx</x:v>
      </x:c>
    </x:row>
    <x:row r="160" ht="142" customHeight="1">
      <x:c r="A160" s="3" t="str">
        <x:v>SOW-187</x:v>
      </x:c>
      <x:c r="B160" s="3" t="n">
        <x:v>187</x:v>
      </x:c>
      <x:c r="C160" s="3" t="str">
        <x:v>Protiviti team should provide the following:
&gt; Reimbursement bank transfer
&gt; Reimbursement Register
&gt; Submission of reimbursement pay slip to employees via the Platform.
&gt; Calculation of TDS on the unclaimed entitlement at the year end or as per the Client policy
&gt; Assistance for management and resolution of desk queries raised by employees.</x:v>
      </x:c>
      <x:c r="D160" s="3" t="str">
        <x:v>Blocked by reviewed defects</x:v>
      </x:c>
      <x:c r="E160" s="3" t="str">
        <x:v>R01, R05, R12, R13, R25, R26, R27, R28, R29, R30, R33, R38</x:v>
      </x:c>
      <x:c r="F160" s="3" t="str">
        <x:v>Claim/reimbursement page is a shell; generic helpdesk exists.</x:v>
      </x:c>
      <x:c r="G160" s="3" t="str">
        <x:v>Build reimbursement bank transfer, register, payslip, year-end unsubstantiated entitlement tax and linked query support.</x:v>
      </x:c>
      <x:c r="H160" s="3" t="str">
        <x:v>CLM-01..06, PAY-06/13</x:v>
      </x:c>
      <x:c r="I160" s="3" t="str">
        <x:v>P04, P06, W04, T01, T02, T03, T04, D10, D11</x:v>
      </x:c>
      <x:c r="J160" s="3" t="str">
        <x:v>core.documents, core.employee_assignments, core.import_batches, core.source_mappings, pay.bank_batch_lines, pay.bank_batches, pay.budget_categories, pay.budgets, pay.claim_bills, pay.claim_entitlements, pay.claim_lines, pay.claim_reservations, pay.claim_types, pay.claims, pay.gl_accounts, pay.journal_batches, pay.journal_lines, pay.output_artifacts, pay.payment_events, pay.payment_obligations, pay.payroll_item_lines, pay.payroll_items, pay.source_consumptions, reporting.kpi_daily, reporting.muster_month, reporting.snapshot_builds, te.advances, te.booking_events, te.booking_operations, te.currency_rates, te.employee_travel_levels, te.itinerary_segments, te.policy_versions, te.settlement_advances, te.settlements, te.travel_levels, te.trips, te.wallet_postings</x:v>
      </x:c>
      <x:c r="K160" s="3" t="str">
        <x:v>plans/phase-2-payroll-statutory.md, backend/src/api/router.ts, frontend/src/pages/payroll/PayrollPage.tsx, frontend/src/pages/payroll/ClaimsPage.tsx</x:v>
      </x:c>
    </x:row>
    <x:row r="161" ht="64" customHeight="1">
      <x:c r="A161" s="3" t="str">
        <x:v>SOW-190</x:v>
      </x:c>
      <x:c r="B161" s="3" t="n">
        <x:v>190</x:v>
      </x:c>
      <x:c r="C161" s="3" t="str">
        <x:v>Broadcasting company news and updates in an engaging format.</x:v>
      </x:c>
      <x:c r="D161" s="3" t="str">
        <x:v>Requires current end-to-end verification</x:v>
      </x:c>
      <x:c r="E161" s="3" t="str"/>
      <x:c r="F161" s="3" t="str">
        <x:v>Announcement publish/read/withdraw APIs and targeted ESS feed exist.</x:v>
      </x:c>
      <x:c r="G161" s="3" t="str">
        <x:v>Build HR publisher console and delivery/read reach evidence; current page displays feed only.</x:v>
      </x:c>
      <x:c r="H161" s="3" t="str">
        <x:v>EN-01</x:v>
      </x:c>
      <x:c r="I161" s="3" t="str">
        <x:v>F04, W03</x:v>
      </x:c>
      <x:c r="J161" s="3" t="str">
        <x:v>core.document_operations, core.documents, core.letter_templates, core.letters, core.policies, core.policy_acknowledgments, core.policy_versions, eng.announcements, eng.poll_responses, eng.polls, eng.survey_responses, eng.surveys, wf.event_subscriptions, wf.notification_attempts, wf.notifications</x:v>
      </x:c>
      <x:c r="K161" s="3" t="str">
        <x:v>backend/src/modules/engagement/engagement.router.ts, frontend/src/pages/workplace/EngagementPage.tsx, plans/phase-3-lifecycle-assets-executive.md</x:v>
      </x:c>
    </x:row>
    <x:row r="162" ht="51" customHeight="1">
      <x:c r="A162" s="3" t="str">
        <x:v>SOW-191</x:v>
      </x:c>
      <x:c r="B162" s="3" t="n">
        <x:v>191</x:v>
      </x:c>
      <x:c r="C162" s="3" t="str">
        <x:v>Enabling HR teams to share information and conduct opinion polls.</x:v>
      </x:c>
      <x:c r="D162" s="3" t="str">
        <x:v>Requires current end-to-end verification</x:v>
      </x:c>
      <x:c r="E162" s="3" t="str"/>
      <x:c r="F162" s="3" t="str">
        <x:v>Poll create/respond/results/close APIs, audience and anonymity dedupe exist.</x:v>
      </x:c>
      <x:c r="G162" s="3" t="str">
        <x:v>Build HR/employee polls UI and conduct real poll/UAT.</x:v>
      </x:c>
      <x:c r="H162" s="3" t="str">
        <x:v>EN-02</x:v>
      </x:c>
      <x:c r="I162" s="3" t="str">
        <x:v>W03</x:v>
      </x:c>
      <x:c r="J162" s="3" t="str">
        <x:v>core.letter_templates, core.letters, core.policies, core.policy_acknowledgments, core.policy_versions, eng.announcements, eng.poll_responses, eng.polls, eng.survey_responses, eng.surveys</x:v>
      </x:c>
      <x:c r="K162" s="3" t="str">
        <x:v>backend/src/modules/engagement/polls.service.ts, frontend/src/pages/workplace/EngagementPage.tsx, backend/tests/engagement.integration.test.ts</x:v>
      </x:c>
    </x:row>
    <x:row r="163" ht="51" customHeight="1">
      <x:c r="A163" s="3" t="str">
        <x:v>SOW-193</x:v>
      </x:c>
      <x:c r="B163" s="3" t="n">
        <x:v>193</x:v>
      </x:c>
      <x:c r="C163" s="3" t="str">
        <x:v>Conducting structured surveys for feedback collection.</x:v>
      </x:c>
      <x:c r="D163" s="3" t="str">
        <x:v>Requires current end-to-end verification</x:v>
      </x:c>
      <x:c r="E163" s="3" t="str"/>
      <x:c r="F163" s="3" t="str">
        <x:v>Poll engine supports kind=pulse and anonymous results.</x:v>
      </x:c>
      <x:c r="G163" s="3" t="str">
        <x:v>Build pulse-survey UI; multi-question structured survey support is not evidenced by single-question/options contract. Confirm required scope.</x:v>
      </x:c>
      <x:c r="H163" s="3" t="str">
        <x:v>EN-03</x:v>
      </x:c>
      <x:c r="I163" s="3" t="str">
        <x:v>W03, D11</x:v>
      </x:c>
      <x:c r="J163" s="3" t="str">
        <x:v>core.letter_templates, core.letters, core.policies, core.policy_acknowledgments, core.policy_versions, eng.announcements, eng.poll_responses, eng.polls, eng.survey_responses, eng.surveys</x:v>
      </x:c>
      <x:c r="K163" s="3" t="str">
        <x:v>backend/src/modules/engagement/engagement.router.ts, frontend/src/pages/workplace/EngagementPage.tsx</x:v>
      </x:c>
    </x:row>
    <x:row r="164" ht="77" customHeight="1">
      <x:c r="A164" s="3" t="str">
        <x:v>SOW-194</x:v>
      </x:c>
      <x:c r="B164" s="3" t="n">
        <x:v>194</x:v>
      </x:c>
      <x:c r="C164" s="3" t="str">
        <x:v>HR receives data-driven recommendations for improvements.</x:v>
      </x:c>
      <x:c r="D164" s="3" t="str">
        <x:v>Scope decision pending</x:v>
      </x:c>
      <x:c r="E164" s="3" t="str"/>
      <x:c r="F164" s="3" t="str">
        <x:v>Basic poll tallies/comments exist; no recommendation engine found.</x:v>
      </x:c>
      <x:c r="G164" s="3" t="str">
        <x:v>Clarify whether this means HR interpretation of survey results or new automated recommendations. Record scope before building.</x:v>
      </x:c>
      <x:c r="H164" s="3" t="str">
        <x:v>EN-03; no explicit recommendation-engine requirement</x:v>
      </x:c>
      <x:c r="I164" s="3" t="str">
        <x:v>W03, W04, D08, D11</x:v>
      </x:c>
      <x:c r="J164" s="3" t="str">
        <x:v>core.employee_assignments, core.letter_templates, core.letters, core.policies, core.policy_acknowledgments, core.policy_versions, eng.announcements, eng.poll_responses, eng.polls, eng.survey_responses, eng.surveys, pay.payroll_item_lines, pay.payroll_items, pay.source_consumptions, reporting.kpi_daily, reporting.muster_month, reporting.snapshot_builds</x:v>
      </x:c>
      <x:c r="K164" s="3" t="str">
        <x:v>docs/01-REQUIREMENTS-PRD.md, backend/src/modules/engagement/polls.service.ts</x:v>
      </x:c>
    </x:row>
    <x:row r="165" ht="48" customHeight="1">
      <x:c r="A165" s="3" t="str">
        <x:v>SOW-197</x:v>
      </x:c>
      <x:c r="B165" s="3" t="n">
        <x:v>197</x:v>
      </x:c>
      <x:c r="C165" s="3" t="str">
        <x:v>Platform for Asset Assignment</x:v>
      </x:c>
      <x:c r="D165" s="3" t="str">
        <x:v>Requires current end-to-end verification</x:v>
      </x:c>
      <x:c r="E165" s="3" t="str"/>
      <x:c r="F165" s="3" t="str">
        <x:v>Asset register/search, holder assignments, employee/third-party XOR and UI allocation exist.</x:v>
      </x:c>
      <x:c r="G165" s="3" t="str">
        <x:v>Accept real asset inventory and Admin UAT; production rollout remains.</x:v>
      </x:c>
      <x:c r="H165" s="3" t="str">
        <x:v>AST-01..03</x:v>
      </x:c>
      <x:c r="I165" s="3" t="str">
        <x:v>W01</x:v>
      </x:c>
      <x:c r="J165" s="3" t="str">
        <x:v>ast.assets, ast.assignments, ast.custody_events, ast.maintenance, pay.payment_obligations</x:v>
      </x:c>
      <x:c r="K165" s="3" t="str">
        <x:v>backend/src/modules/assets/assets.router.ts, backend/src/modules/assets/assets.service.ts, backend/tests/assets.integration.test.ts, frontend/src/pages/workplace/AssetsPage.tsx</x:v>
      </x:c>
    </x:row>
    <x:row r="166" ht="64" customHeight="1">
      <x:c r="A166" s="3" t="str">
        <x:v>SOW-198</x:v>
      </x:c>
      <x:c r="B166" s="3" t="n">
        <x:v>198</x:v>
      </x:c>
      <x:c r="C166" s="3" t="str">
        <x:v>Platform for management of Employee Asset Directory</x:v>
      </x:c>
      <x:c r="D166" s="3" t="str">
        <x:v>Requires current end-to-end verification</x:v>
      </x:c>
      <x:c r="E166" s="3" t="str"/>
      <x:c r="F166" s="3" t="str">
        <x:v>Asset register/search, holder assignments, employee/third-party XOR and UI allocation exist.</x:v>
      </x:c>
      <x:c r="G166" s="3" t="str">
        <x:v>Accept real asset inventory and Admin UAT; production rollout remains.</x:v>
      </x:c>
      <x:c r="H166" s="3" t="str">
        <x:v>AST-01..03</x:v>
      </x:c>
      <x:c r="I166" s="3" t="str">
        <x:v>W01, W04</x:v>
      </x:c>
      <x:c r="J166" s="3" t="str">
        <x:v>ast.assets, ast.assignments, ast.custody_events, ast.maintenance, core.employee_assignments, pay.payment_obligations, pay.payroll_item_lines, pay.payroll_items, pay.source_consumptions, reporting.kpi_daily, reporting.muster_month, reporting.snapshot_builds</x:v>
      </x:c>
      <x:c r="K166" s="3" t="str">
        <x:v>backend/src/modules/assets/assets.router.ts, backend/src/modules/assets/assets.service.ts, backend/tests/assets.integration.test.ts, frontend/src/pages/workplace/AssetsPage.tsx</x:v>
      </x:c>
    </x:row>
    <x:row r="167" ht="48" customHeight="1">
      <x:c r="A167" s="3" t="str">
        <x:v>SOW-200</x:v>
      </x:c>
      <x:c r="B167" s="3" t="n">
        <x:v>200</x:v>
      </x:c>
      <x:c r="C167" s="3" t="str">
        <x:v>Platform for Asset Maintenance Scheduling</x:v>
      </x:c>
      <x:c r="D167" s="3" t="str">
        <x:v>Requires current end-to-end verification</x:v>
      </x:c>
      <x:c r="E167" s="3" t="str"/>
      <x:c r="F167" s="3" t="str">
        <x:v>Maintenance API/trail stores scheduled date and cost.</x:v>
      </x:c>
      <x:c r="G167" s="3" t="str">
        <x:v>Build maintenance scheduling UI, recurring reminders/status completion as agreed; asset page currently only register/allocate/return/outstanding.</x:v>
      </x:c>
      <x:c r="H167" s="3" t="str">
        <x:v>AST-06</x:v>
      </x:c>
      <x:c r="I167" s="3" t="str">
        <x:v>W01, D11</x:v>
      </x:c>
      <x:c r="J167" s="3" t="str">
        <x:v>ast.assets, ast.assignments, ast.custody_events, ast.maintenance, pay.payment_obligations</x:v>
      </x:c>
      <x:c r="K167" s="3" t="str">
        <x:v>backend/src/modules/assets/assets.router.ts, backend/src/modules/assets/assets.service.ts, backend/tests/assets.integration.test.ts, frontend/src/pages/workplace/AssetsPage.tsx</x:v>
      </x:c>
    </x:row>
    <x:row r="168" ht="64" customHeight="1">
      <x:c r="A168" s="3" t="str">
        <x:v>SOW-201</x:v>
      </x:c>
      <x:c r="B168" s="3" t="n">
        <x:v>201</x:v>
      </x:c>
      <x:c r="C168" s="3" t="str">
        <x:v>Platform for Incident &amp; Damage Reporting</x:v>
      </x:c>
      <x:c r="D168" s="3" t="str">
        <x:v>Requires current end-to-end verification</x:v>
      </x:c>
      <x:c r="E168" s="3" t="str"/>
      <x:c r="F168" s="3" t="str">
        <x:v>Maintenance API records incident/damage/loss; damaged return routes to maintenance.</x:v>
      </x:c>
      <x:c r="G168" s="3" t="str">
        <x:v>Build dedicated incident/damage reporting UI and recovery linkage to payroll/F&amp;F.</x:v>
      </x:c>
      <x:c r="H168" s="3" t="str">
        <x:v>AST-06</x:v>
      </x:c>
      <x:c r="I168" s="3" t="str">
        <x:v>W01, D11</x:v>
      </x:c>
      <x:c r="J168" s="3" t="str">
        <x:v>ast.assets, ast.assignments, ast.custody_events, ast.maintenance, pay.payment_obligations</x:v>
      </x:c>
      <x:c r="K168" s="3" t="str">
        <x:v>backend/src/modules/assets/assets.router.ts, backend/src/modules/assets/assets.service.ts, backend/tests/assets.integration.test.ts, frontend/src/pages/workplace/AssetsPage.tsx, plans/phase-3-lifecycle-assets-executive.md, backend/src/modules/lifecycle/lifecycle.router.ts, frontend/src/pages/lifecycle/LifecyclePage.tsx</x:v>
      </x:c>
    </x:row>
    <x:row r="169" ht="48" customHeight="1">
      <x:c r="A169" s="3" t="str">
        <x:v>SOW-203</x:v>
      </x:c>
      <x:c r="B169" s="3" t="n">
        <x:v>203</x:v>
      </x:c>
      <x:c r="C169" s="3" t="str">
        <x:v>Platform for Asset Return Process</x:v>
      </x:c>
      <x:c r="D169" s="3" t="str">
        <x:v>Requires current end-to-end verification</x:v>
      </x:c>
      <x:c r="E169" s="3" t="str"/>
      <x:c r="F169" s="3" t="str">
        <x:v>Return drawer and API record ok/damaged/not_returned and assignment state.</x:v>
      </x:c>
      <x:c r="G169" s="3" t="str">
        <x:v>Prove actual exit integration/clearance in Stage 3.2; asset-return capability itself exists.</x:v>
      </x:c>
      <x:c r="H169" s="3" t="str">
        <x:v>AST-04</x:v>
      </x:c>
      <x:c r="I169" s="3" t="str">
        <x:v>W01</x:v>
      </x:c>
      <x:c r="J169" s="3" t="str">
        <x:v>ast.assets, ast.assignments, ast.custody_events, ast.maintenance, pay.payment_obligations</x:v>
      </x:c>
      <x:c r="K169" s="3" t="str">
        <x:v>backend/src/modules/assets/assets.router.ts, backend/src/modules/assets/assets.service.ts, backend/tests/assets.integration.test.ts, frontend/src/pages/workplace/AssetsPage.tsx</x:v>
      </x:c>
    </x:row>
    <x:row r="170" ht="77" customHeight="1">
      <x:c r="A170" s="3" t="str">
        <x:v>SOW-204</x:v>
      </x:c>
      <x:c r="B170" s="3" t="n">
        <x:v>204</x:v>
      </x:c>
      <x:c r="C170" s="3" t="str">
        <x:v>Platform for Clearance Workflows</x:v>
      </x:c>
      <x:c r="D170" s="3" t="str">
        <x:v>Blocked by reviewed defects</x:v>
      </x:c>
      <x:c r="E170" s="3" t="str">
        <x:v>R14, R15, R16, R17, R19</x:v>
      </x:c>
      <x:c r="F170" s="3" t="str">
        <x:v>Open employee holdings lookup and leaver outstanding list exist.</x:v>
      </x:c>
      <x:c r="G170" s="3" t="str">
        <x:v>Build clearance fan-out/approvals and enforce asset disposition before Admin clearance/F&amp;F. Asset lookup alone is not the workflow.</x:v>
      </x:c>
      <x:c r="H170" s="3" t="str">
        <x:v>AST-04, LC-06</x:v>
      </x:c>
      <x:c r="I170" s="3" t="str">
        <x:v>L04, W01, W04, D11</x:v>
      </x:c>
      <x:c r="J170" s="3" t="str">
        <x:v>ast.assets, ast.assignments, ast.custody_events, ast.maintenance, core.clearances, core.employee_assignments, core.separations, pay.claims, pay.loan_postings, pay.loans, pay.payment_obligations, pay.payroll_item_lines, pay.payroll_items, pay.source_consumptions, reporting.kpi_daily, reporting.muster_month, reporting.snapshot_builds, te.advances, te.wallet_postings</x:v>
      </x:c>
      <x:c r="K170" s="3" t="str">
        <x:v>backend/src/modules/assets/assets.router.ts, backend/src/modules/assets/assets.service.ts, backend/tests/assets.integration.test.ts, frontend/src/pages/workplace/AssetsPage.tsx, plans/phase-3-lifecycle-assets-executive.md, backend/src/modules/lifecycle/lifecycle.router.ts, frontend/src/pages/lifecycle/LifecyclePage.tsx</x:v>
      </x:c>
    </x:row>
    <x:row r="171" ht="77" customHeight="1">
      <x:c r="A171" s="3" t="str">
        <x:v>SOW-205</x:v>
      </x:c>
      <x:c r="B171" s="3" t="n">
        <x:v>205</x:v>
      </x:c>
      <x:c r="C171" s="3" t="str">
        <x:v>Platform for Lost or Unreturned Assets Management</x:v>
      </x:c>
      <x:c r="D171" s="3" t="str">
        <x:v>Requires current end-to-end verification</x:v>
      </x:c>
      <x:c r="E171" s="3" t="str"/>
      <x:c r="F171" s="3" t="str">
        <x:v>Lost trail prevents allocation; leaver non-returned list and export exist.</x:v>
      </x:c>
      <x:c r="G171" s="3" t="str">
        <x:v>Expose loss handling/disposition UI and integrate recovery/write-off with clearance/payroll.</x:v>
      </x:c>
      <x:c r="H171" s="3" t="str">
        <x:v>AST-05/06</x:v>
      </x:c>
      <x:c r="I171" s="3" t="str">
        <x:v>L04, W01, W04</x:v>
      </x:c>
      <x:c r="J171" s="3" t="str">
        <x:v>ast.assets, ast.assignments, ast.custody_events, ast.maintenance, core.clearances, core.employee_assignments, core.separations, pay.claims, pay.loan_postings, pay.loans, pay.payment_obligations, pay.payroll_item_lines, pay.payroll_items, pay.source_consumptions, reporting.kpi_daily, reporting.muster_month, reporting.snapshot_builds, te.advances, te.wallet_postings</x:v>
      </x:c>
      <x:c r="K171" s="3" t="str">
        <x:v>backend/src/modules/assets/assets.router.ts, backend/src/modules/assets/assets.service.ts, backend/tests/assets.integration.test.ts, frontend/src/pages/workplace/AssetsPage.tsx, plans/phase-3-lifecycle-assets-executive.md, backend/src/modules/lifecycle/lifecycle.router.ts, frontend/src/pages/lifecycle/LifecyclePage.tsx</x:v>
      </x:c>
    </x:row>
    <x:row r="172" ht="51" customHeight="1">
      <x:c r="A172" s="3" t="str">
        <x:v>SOW-208</x:v>
      </x:c>
      <x:c r="B172" s="3" t="n">
        <x:v>208</x:v>
      </x:c>
      <x:c r="C172" s="3" t="str">
        <x:v>Ticket Categories: Categorization of queries</x:v>
      </x:c>
      <x:c r="D172" s="3" t="str">
        <x:v>Requires current end-to-end verification</x:v>
      </x:c>
      <x:c r="E172" s="3" t="str"/>
      <x:c r="F172" s="3" t="str">
        <x:v>Category catalog with data-driven SLA/routing role is available in API and ticket UI.</x:v>
      </x:c>
      <x:c r="G172" s="3" t="str">
        <x:v>Accept HR/IT/payroll categories and routing ownership in UAT.</x:v>
      </x:c>
      <x:c r="H172" s="3" t="str">
        <x:v>HD-01</x:v>
      </x:c>
      <x:c r="I172" s="3" t="str">
        <x:v>W02</x:v>
      </x:c>
      <x:c r="J172" s="3" t="str">
        <x:v>hd.categories, hd.escalation_rules, hd.ticket_events, hd.ticket_messages, hd.tickets, wf.notifications</x:v>
      </x:c>
      <x:c r="K172" s="3" t="str">
        <x:v>backend/src/modules/helpdesk/helpdesk.router.ts, backend/src/modules/helpdesk/helpdesk.service.ts, backend/tests/helpdesk.integration.test.ts, frontend/src/pages/workplace/HelpdeskPage.tsx</x:v>
      </x:c>
    </x:row>
    <x:row r="173" ht="51" customHeight="1">
      <x:c r="A173" s="3" t="str">
        <x:v>SOW-209</x:v>
      </x:c>
      <x:c r="B173" s="3" t="n">
        <x:v>209</x:v>
      </x:c>
      <x:c r="C173" s="3" t="str">
        <x:v>Platform Auto-Acknowledgment &amp; Assignment: </x:v>
      </x:c>
      <x:c r="D173" s="3" t="str">
        <x:v>Requires current end-to-end verification</x:v>
      </x:c>
      <x:c r="E173" s="3" t="str"/>
      <x:c r="F173" s="3" t="str">
        <x:v>Raise transaction sets SLA/acknowledgment and resolves assignee from category role.</x:v>
      </x:c>
      <x:c r="G173" s="3" t="str">
        <x:v>Prove delivered acknowledgment/assignment notification, handle vacant assignee, and align business permission requirement.</x:v>
      </x:c>
      <x:c r="H173" s="3" t="str">
        <x:v>HD-01, WF-02</x:v>
      </x:c>
      <x:c r="I173" s="3" t="str">
        <x:v>F04, W02, D04</x:v>
      </x:c>
      <x:c r="J173" s="3" t="str">
        <x:v>core.document_operations, core.documents, core.letter_templates, core.letters, hd.categories, hd.escalation_rules, hd.ticket_events, hd.ticket_messages, hd.tickets, wf.event_subscriptions, wf.notification_attempts, wf.notifications</x:v>
      </x:c>
      <x:c r="K173" s="3" t="str">
        <x:v>backend/src/modules/helpdesk/helpdesk.router.ts, backend/src/modules/helpdesk/helpdesk.service.ts, backend/tests/helpdesk.integration.test.ts, frontend/src/pages/workplace/HelpdeskPage.tsx, backend/src/modules/notifications/notifications.service.ts, backend/src/jobs/worker.ts</x:v>
      </x:c>
    </x:row>
    <x:row r="174" ht="51" customHeight="1">
      <x:c r="A174" s="3" t="str">
        <x:v>SOW-211</x:v>
      </x:c>
      <x:c r="B174" s="3" t="n">
        <x:v>211</x:v>
      </x:c>
      <x:c r="C174" s="3" t="str">
        <x:v>Escalation Matrix: Automated escalation of unresolved tickets based on pre-set SLAs</x:v>
      </x:c>
      <x:c r="D174" s="3" t="str">
        <x:v>Requires current end-to-end verification</x:v>
      </x:c>
      <x:c r="E174" s="3" t="str"/>
      <x:c r="F174" s="3" t="str">
        <x:v>Hourly sweep increments escalation level and queues same-assignee alert.</x:v>
      </x:c>
      <x:c r="G174" s="3" t="str">
        <x:v>Implement actual escalation matrix/new responsible recipient; worker createQueue list omits helpdesk/KPI queue names. Prove clean-DB scheduler boot and real delivery.</x:v>
      </x:c>
      <x:c r="H174" s="3" t="str">
        <x:v>HD-01, WF-03</x:v>
      </x:c>
      <x:c r="I174" s="3" t="str">
        <x:v>F04, W02, D04, D11</x:v>
      </x:c>
      <x:c r="J174" s="3" t="str">
        <x:v>core.document_operations, core.documents, core.letter_templates, core.letters, hd.categories, hd.escalation_rules, hd.ticket_events, hd.ticket_messages, hd.tickets, wf.event_subscriptions, wf.notification_attempts, wf.notifications</x:v>
      </x:c>
      <x:c r="K174" s="3" t="str">
        <x:v>backend/src/modules/helpdesk/helpdesk.router.ts, backend/src/modules/helpdesk/helpdesk.service.ts, backend/tests/helpdesk.integration.test.ts, frontend/src/pages/workplace/HelpdeskPage.tsx, backend/src/jobs/worker.ts</x:v>
      </x:c>
    </x:row>
    <x:row r="175" ht="64" customHeight="1">
      <x:c r="A175" s="3" t="str">
        <x:v>SOW-213</x:v>
      </x:c>
      <x:c r="B175" s="3" t="n">
        <x:v>213</x:v>
      </x:c>
      <x:c r="C175" s="3" t="str">
        <x:v>Real-time tracking of open, pending, and resolved tickets.</x:v>
      </x:c>
      <x:c r="D175" s="3" t="str">
        <x:v>Blocked by reviewed defects</x:v>
      </x:c>
      <x:c r="E175" s="3" t="str">
        <x:v>R11, R12, R15, R46</x:v>
      </x:c>
      <x:c r="F175" s="3" t="str">
        <x:v>Employee own list and agent queue support open/pending/resolved/closed.</x:v>
      </x:c>
      <x:c r="G175" s="3" t="str">
        <x:v>Add ticket-owner/assignee authorization to thread/reply and category/org scoping where required; then prove negative access fixtures.</x:v>
      </x:c>
      <x:c r="H175" s="3" t="str">
        <x:v>HD-01, CORE-10</x:v>
      </x:c>
      <x:c r="I175" s="3" t="str">
        <x:v>W02, W04</x:v>
      </x:c>
      <x:c r="J175" s="3" t="str">
        <x:v>core.employee_assignments, hd.categories, hd.escalation_rules, hd.ticket_events, hd.ticket_messages, hd.tickets, pay.payroll_item_lines, pay.payroll_items, pay.source_consumptions, reporting.kpi_daily, reporting.muster_month, reporting.snapshot_builds, wf.notifications</x:v>
      </x:c>
      <x:c r="K175" s="3" t="str">
        <x:v>backend/src/modules/helpdesk/helpdesk.router.ts, backend/src/modules/helpdesk/helpdesk.service.ts, backend/tests/helpdesk.integration.test.ts, frontend/src/pages/workplace/HelpdeskPage.tsx</x:v>
      </x:c>
    </x:row>
    <x:row r="176" ht="64" customHeight="1">
      <x:c r="A176" s="3" t="str">
        <x:v>SOW-214</x:v>
      </x:c>
      <x:c r="B176" s="3" t="n">
        <x:v>214</x:v>
      </x:c>
      <x:c r="C176" s="3" t="str">
        <x:v>Monthly Performance Reports</x:v>
      </x:c>
      <x:c r="D176" s="3" t="str">
        <x:v>Blocked by reviewed defects</x:v>
      </x:c>
      <x:c r="E176" s="3" t="str">
        <x:v>R34, R44, R45</x:v>
      </x:c>
      <x:c r="F176" s="3" t="str">
        <x:v>Monthly category report and Excel exist.</x:v>
      </x:c>
      <x:c r="G176" s="3" t="str">
        <x:v>Add assignee/SLA-hit reporting per doc 04; retain historic breach facts so resolved late tickets do not disappear from breached count.</x:v>
      </x:c>
      <x:c r="H176" s="3" t="str">
        <x:v>HD-01, RPT-06</x:v>
      </x:c>
      <x:c r="I176" s="3" t="str">
        <x:v>W02, W04, D11</x:v>
      </x:c>
      <x:c r="J176" s="3" t="str">
        <x:v>core.employee_assignments, hd.categories, hd.escalation_rules, hd.ticket_events, hd.ticket_messages, hd.tickets, pay.payroll_item_lines, pay.payroll_items, pay.source_consumptions, reporting.kpi_daily, reporting.muster_month, reporting.snapshot_builds, wf.notifications</x:v>
      </x:c>
      <x:c r="K176" s="3" t="str">
        <x:v>backend/src/modules/helpdesk/helpdesk.router.ts, backend/src/modules/helpdesk/helpdesk.service.ts, backend/tests/helpdesk.integration.test.ts, frontend/src/pages/workplace/HelpdeskPage.tsx, docs/04-MODULE-SPECS.md</x:v>
      </x:c>
    </x:row>
    <x:row r="177" ht="64" customHeight="1">
      <x:c r="A177" s="3" t="str">
        <x:v>SOW-216</x:v>
      </x:c>
      <x:c r="B177" s="3" t="n">
        <x:v>216</x:v>
      </x:c>
      <x:c r="C177" s="3" t="str">
        <x:v>Helpdesk Query Logs</x:v>
      </x:c>
      <x:c r="D177" s="3" t="str">
        <x:v>Blocked by reviewed defects</x:v>
      </x:c>
      <x:c r="E177" s="3" t="str">
        <x:v>R17, R37</x:v>
      </x:c>
      <x:c r="F177" s="3" t="str">
        <x:v>Ticket-message history is append-only via migration trigger.</x:v>
      </x:c>
      <x:c r="G177" s="3" t="str">
        <x:v>Close ticket read/reply authorization gap; prove production retention and UAT.</x:v>
      </x:c>
      <x:c r="H177" s="3" t="str">
        <x:v>HD-01, CORE-11</x:v>
      </x:c>
      <x:c r="I177" s="3" t="str">
        <x:v>W02, W04</x:v>
      </x:c>
      <x:c r="J177" s="3" t="str">
        <x:v>core.employee_assignments, hd.categories, hd.escalation_rules, hd.ticket_events, hd.ticket_messages, hd.tickets, pay.payroll_item_lines, pay.payroll_items, pay.source_consumptions, reporting.kpi_daily, reporting.muster_month, reporting.snapshot_builds, wf.notifications</x:v>
      </x:c>
      <x:c r="K177" s="3" t="str">
        <x:v>backend/src/modules/helpdesk/helpdesk.router.ts, backend/src/modules/helpdesk/helpdesk.service.ts, backend/tests/helpdesk.integration.test.ts, frontend/src/pages/workplace/HelpdeskPage.tsx, backend/migrations/1751990000000_helpdesk-engagement.ts</x:v>
      </x:c>
    </x:row>
    <x:row r="178" ht="51" customHeight="1">
      <x:c r="A178" s="3" t="str">
        <x:v>SOW-217</x:v>
      </x:c>
      <x:c r="B178" s="3" t="n">
        <x:v>217</x:v>
      </x:c>
      <x:c r="C178" s="3" t="str">
        <x:v>Regulatory Query Handling</x:v>
      </x:c>
      <x:c r="D178" s="3" t="str">
        <x:v>Manual/service evidence pending</x:v>
      </x:c>
      <x:c r="E178" s="3" t="str"/>
      <x:c r="F178" s="3" t="str">
        <x:v>Generic helpdesk can record queries; specialist regulatory responses are human services.</x:v>
      </x:c>
      <x:c r="G178" s="3" t="str">
        <x:v>Assign qualified compliance owner and retain response/closure evidence; ticketing alone does not prove regulatory resolution.</x:v>
      </x:c>
      <x:c r="H178" s="3" t="str">
        <x:v>HD-01; regulatory operations</x:v>
      </x:c>
      <x:c r="I178" s="3" t="str">
        <x:v>W02, M01</x:v>
      </x:c>
      <x:c r="J178" s="3" t="str">
        <x:v>cmp.calendar_items, cmp.filing_evidence, cmp.registrations, core.documents, hd.categories, hd.escalation_rules, hd.ticket_events, hd.ticket_messages, hd.tickets, pay.output_artifacts, wf.notifications</x:v>
      </x:c>
      <x:c r="K178" s="3" t="str">
        <x:v>backend/src/modules/helpdesk/helpdesk.router.ts, backend/src/modules/helpdesk/helpdesk.service.ts, backend/tests/helpdesk.integration.test.ts, frontend/src/pages/workplace/HelpdeskPage.tsx, Documention_ProtiVity/SOW Tracker .xlsx</x:v>
      </x:c>
    </x:row>
    <x:row r="179" ht="77" customHeight="1">
      <x:c r="A179" s="3" t="str">
        <x:v>SOW-218</x:v>
      </x:c>
      <x:c r="B179" s="3" t="n">
        <x:v>218</x:v>
      </x:c>
      <x:c r="C179" s="3" t="str">
        <x:v>Employee &amp; Case Management</x:v>
      </x:c>
      <x:c r="D179" s="3" t="str">
        <x:v>Blocked by reviewed defects</x:v>
      </x:c>
      <x:c r="E179" s="3" t="str">
        <x:v>R14, R15, R16, R17, R19</x:v>
      </x:c>
      <x:c r="F179" s="3" t="str">
        <x:v>Ticket threads and absence-case queue exist.</x:v>
      </x:c>
      <x:c r="G179" s="3" t="str">
        <x:v>Finish secure employee/case access and connect relevant lifecycle/payroll cases. Agree whether SOW refers only to helpdesk cases.</x:v>
      </x:c>
      <x:c r="H179" s="3" t="str">
        <x:v>HD-01, ATT-10, LC-06</x:v>
      </x:c>
      <x:c r="I179" s="3" t="str">
        <x:v>F04, L04, W02</x:v>
      </x:c>
      <x:c r="J179" s="3" t="str">
        <x:v>ast.assignments, ast.custody_events, core.clearances, core.document_operations, core.documents, core.letter_templates, core.letters, core.separations, hd.categories, hd.escalation_rules, hd.ticket_events, hd.ticket_messages, hd.tickets, pay.claims, pay.loan_postings, pay.loans, te.advances, te.wallet_postings, wf.event_subscriptions, wf.notification_attempts, wf.notifications</x:v>
      </x:c>
      <x:c r="K179" s="3" t="str">
        <x:v>backend/src/modules/helpdesk/helpdesk.router.ts, backend/src/modules/helpdesk/helpdesk.service.ts, backend/tests/helpdesk.integration.test.ts, frontend/src/pages/workplace/HelpdeskPage.tsx, plans/phase-3-lifecycle-assets-executive.md, backend/src/modules/lifecycle/lifecycle.router.ts, frontend/src/pages/lifecycle/LifecyclePage.tsx</x:v>
      </x:c>
    </x:row>
    <x:row r="180" ht="90" customHeight="1">
      <x:c r="A180" s="3" t="str">
        <x:v>SOW-221</x:v>
      </x:c>
      <x:c r="B180" s="3" t="n">
        <x:v>221</x:v>
      </x:c>
      <x:c r="C180" s="3" t="str">
        <x:v>Settlement Input in Excel Format as shared by Protiviti viz – Number of days payable, Salary hold release, Leave Encashment days/Notice Pay recovery, Other Payments&amp; Deductions, Gratuity, LTA claimed in previous employment</x:v>
      </x:c>
      <x:c r="D180" s="3" t="str">
        <x:v>Blocked by reviewed defects</x:v>
      </x:c>
      <x:c r="E180" s="3" t="str">
        <x:v>R01, R05, R12, R14, R15, R16, R17, R19, R25, R27, R28, R29, R30, R38, R39</x:v>
      </x:c>
      <x:c r="F180" s="3" t="str">
        <x:v>F&amp;F/alumni are specified; lifecycle/payroll shells only.</x:v>
      </x:c>
      <x:c r="G180" s="3" t="str">
        <x:v>Build the row-specific settlement input, proof/claim submission, reviewed workings, approved deliverables, two monthly cycles, configurable signed TAT or alumni download access. Full F&amp;F pipeline is absent.</x:v>
      </x:c>
      <x:c r="H180" s="3" t="str">
        <x:v>PAY-15/13, CLM-02, LC-06/07</x:v>
      </x:c>
      <x:c r="I180" s="3" t="str">
        <x:v>A04, P05, L04, L05, D10, D11</x:v>
      </x:c>
      <x:c r="J180" s="3" t="str">
        <x:v>ast.assignments, ast.custody_events, core.clearances, core.letters, core.separations, lv.applications, lv.credit_allocations, lv.leave_types, lv.ledger, lv.operation_keys, lv.restricted_holidays, lv.rh_selections, pay.claims, pay.fnf_settlements, pay.loan_installments, pay.loan_postings, pay.loans, pay.payment_events, pay.payment_obligations, pay.payroll_item_lines, pay.payroll_items, pay.payroll_runs, pay.source_consumptions, te.advances, te.wallet_postings</x:v>
      </x:c>
      <x:c r="K180" s="3" t="str">
        <x:v>plans/phase-3-lifecycle-assets-executive.md, backend/src/modules/lifecycle/lifecycle.router.ts, frontend/src/pages/lifecycle/LifecyclePage.tsx, plans/phase-2-payroll-statutory.md, backend/src/api/router.ts, frontend/src/pages/payroll/PayrollPage.tsx</x:v>
      </x:c>
    </x:row>
    <x:row r="181" ht="48" customHeight="1">
      <x:c r="A181" s="3" t="str">
        <x:v>SOW-222</x:v>
      </x:c>
      <x:c r="B181" s="3" t="n">
        <x:v>222</x:v>
      </x:c>
      <x:c r="C181" s="3" t="str">
        <x:v>Communication Protocol: SFTP/ Protiviti’s CRM/ Rashmi Metaliks Limited Portal</x:v>
      </x:c>
      <x:c r="D181" s="3" t="str">
        <x:v>Scope decision pending</x:v>
      </x:c>
      <x:c r="E181" s="3" t="str">
        <x:v>R14, R15, R16, R17, R19</x:v>
      </x:c>
      <x:c r="F181" s="3" t="str">
        <x:v>SFTP/vendor CRM communication is a vendor operating clause; HRMS portal is planned.</x:v>
      </x:c>
      <x:c r="G181" s="3" t="str">
        <x:v>Confirm retained portal/exchange protocol and evidence requirements under custom replacement. No SFTP/vendor CRM implementation evidenced.</x:v>
      </x:c>
      <x:c r="H181" s="3" t="str">
        <x:v>SOW-10.1 protocol; LC-06</x:v>
      </x:c>
      <x:c r="I181" s="3" t="str">
        <x:v>F04, D08</x:v>
      </x:c>
      <x:c r="J181" s="3" t="str">
        <x:v>core.document_operations, core.documents, core.letter_templates, core.letters, wf.event_subscriptions, wf.notification_attempts, wf.notifications</x:v>
      </x:c>
      <x:c r="K181" s="3" t="str">
        <x:v>Documention_ProtiVity/SOW Tracker .xlsx, plans/phase-3-lifecycle-assets-executive.md, backend/src/modules/lifecycle/lifecycle.router.ts, frontend/src/pages/lifecycle/LifecyclePage.tsx</x:v>
      </x:c>
    </x:row>
    <x:row r="182" ht="129" customHeight="1">
      <x:c r="A182" s="3" t="str">
        <x:v>SOW-223</x:v>
      </x:c>
      <x:c r="B182" s="3" t="n">
        <x:v>223</x:v>
      </x:c>
      <x:c r="C182" s="3" t="str">
        <x:v>Rashmi Metaliks Limited Employees to update investment proofs in ESS portal and submit any pending reimbursement claims</x:v>
      </x:c>
      <x:c r="D182" s="3" t="str">
        <x:v>Blocked by reviewed defects</x:v>
      </x:c>
      <x:c r="E182" s="3" t="str">
        <x:v>R01, R05, R12, R14, R15, R16, R17, R19, R25, R27, R28, R29, R30, R38, R39</x:v>
      </x:c>
      <x:c r="F182" s="3" t="str">
        <x:v>F&amp;F/alumni are specified; lifecycle/payroll shells only.</x:v>
      </x:c>
      <x:c r="G182" s="3" t="str">
        <x:v>Build the row-specific settlement input, proof/claim submission, reviewed workings, approved deliverables, two monthly cycles, configurable signed TAT or alumni download access. Full F&amp;F pipeline is absent.</x:v>
      </x:c>
      <x:c r="H182" s="3" t="str">
        <x:v>PAY-15/13, CLM-02, LC-06/07</x:v>
      </x:c>
      <x:c r="I182" s="3" t="str">
        <x:v>P03, P06, L04, L05, T02</x:v>
      </x:c>
      <x:c r="J182" s="3" t="str">
        <x:v>ast.assignments, ast.custody_events, core.clearances, core.documents, core.letters, core.separations, lv.ledger, pay.budget_categories, pay.budgets, pay.claim_bills, pay.claim_entitlements, pay.claim_lines, pay.claim_reservations, pay.claim_types, pay.claims, pay.fnf_settlements, pay.investment_declarations, pay.it_slabs, pay.loan_postings, pay.loans, pay.output_artifacts, pay.payment_obligations, pay.payroll_item_lines, pay.payroll_items, pay.payroll_runs, pay.previous_employer_income, pay.pt_slabs, pay.source_consumptions, pay.statutory_memberships, pay.statutory_postings, pay.statutory_rates, pay.tax_elections, pay.tds_challans, te.advances, te.settlement_advances, te.settlements, te.wallet_postings</x:v>
      </x:c>
      <x:c r="K182" s="3" t="str">
        <x:v>plans/phase-3-lifecycle-assets-executive.md, backend/src/modules/lifecycle/lifecycle.router.ts, frontend/src/pages/lifecycle/LifecyclePage.tsx, plans/phase-2-payroll-statutory.md, backend/src/api/router.ts, frontend/src/pages/payroll/PayrollPage.tsx</x:v>
      </x:c>
    </x:row>
    <x:row r="183" ht="142" customHeight="1">
      <x:c r="A183" s="3" t="str">
        <x:v>SOW-224</x:v>
      </x:c>
      <x:c r="B183" s="3" t="n">
        <x:v>224</x:v>
      </x:c>
      <x:c r="C183" s="3" t="str">
        <x:v>Protiviti should process payroll based on clarifications received (post verification of investment proofs and reimbursement claims submitted) and share the Final Settlement workings for confirmation</x:v>
      </x:c>
      <x:c r="D183" s="3" t="str">
        <x:v>Blocked by reviewed defects</x:v>
      </x:c>
      <x:c r="E183" s="3" t="str">
        <x:v>R01, R05, R12, R14, R15, R16, R17, R19, R25, R27, R28, R29, R30, R38, R39</x:v>
      </x:c>
      <x:c r="F183" s="3" t="str">
        <x:v>F&amp;F/alumni are specified; lifecycle/payroll shells only.</x:v>
      </x:c>
      <x:c r="G183" s="3" t="str">
        <x:v>Build the row-specific settlement input, proof/claim submission, reviewed workings, approved deliverables, two monthly cycles, configurable signed TAT or alumni download access. Full F&amp;F pipeline is absent.</x:v>
      </x:c>
      <x:c r="H183" s="3" t="str">
        <x:v>PAY-15/13, CLM-02, LC-06/07</x:v>
      </x:c>
      <x:c r="I183" s="3" t="str">
        <x:v>P02, P03, P06, L04, L05, D01, D10, D11</x:v>
      </x:c>
      <x:c r="J183" s="3" t="str">
        <x:v>ast.assignments, ast.custody_events, att.month_locks, att.overtime_entries, core.clearances, core.documents, core.letters, core.separations, lv.ledger, pay.arrears, pay.budget_categories, pay.budgets, pay.claim_bills, pay.claim_entitlements, pay.claim_lines, pay.claim_reservations, pay.claim_types, pay.claims, pay.fnf_settlements, pay.inputs, pay.investment_declarations, pay.it_slabs, pay.loan_postings, pay.loans, pay.output_artifacts, pay.payment_obligations, pay.payroll_item_lines, pay.payroll_items, pay.payroll_runs, pay.previous_employer_income, pay.pt_slabs, pay.run_input_refs, pay.salary_holds, pay.source_consumptions, pay.statutory_memberships, pay.statutory_postings, pay.statutory_rates, pay.tax_elections, pay.tds_challans, te.advances, te.wallet_postings</x:v>
      </x:c>
      <x:c r="K183" s="3" t="str">
        <x:v>plans/phase-3-lifecycle-assets-executive.md, backend/src/modules/lifecycle/lifecycle.router.ts, frontend/src/pages/lifecycle/LifecyclePage.tsx, plans/phase-2-payroll-statutory.md, backend/src/api/router.ts, frontend/src/pages/payroll/PayrollPage.tsx</x:v>
      </x:c>
    </x:row>
    <x:row r="184" ht="90" customHeight="1">
      <x:c r="A184" s="3" t="str">
        <x:v>SOW-225</x:v>
      </x:c>
      <x:c r="B184" s="3" t="n">
        <x:v>225</x:v>
      </x:c>
      <x:c r="C184" s="3" t="str">
        <x:v>On receipt of confirmation, the following deliverables to be shared with the Rashmi Metaliks Limited SPOC</x:v>
      </x:c>
      <x:c r="D184" s="3" t="str">
        <x:v>Blocked by reviewed defects</x:v>
      </x:c>
      <x:c r="E184" s="3" t="str">
        <x:v>R01, R05, R12, R14, R15, R16, R17, R19, R25, R27, R28, R29, R30, R38, R39</x:v>
      </x:c>
      <x:c r="F184" s="3" t="str">
        <x:v>F&amp;F/alumni are specified; lifecycle/payroll shells only.</x:v>
      </x:c>
      <x:c r="G184" s="3" t="str">
        <x:v>Build the row-specific settlement input, proof/claim submission, reviewed workings, approved deliverables, two monthly cycles, configurable signed TAT or alumni download access. Full F&amp;F pipeline is absent.</x:v>
      </x:c>
      <x:c r="H184" s="3" t="str">
        <x:v>PAY-15/13, CLM-02, LC-06/07</x:v>
      </x:c>
      <x:c r="I184" s="3" t="str">
        <x:v>P04, L05, W04</x:v>
      </x:c>
      <x:c r="J184" s="3" t="str">
        <x:v>core.clearances, core.documents, core.employee_assignments, core.letters, core.separations, lv.ledger, pay.bank_batch_lines, pay.bank_batches, pay.fnf_settlements, pay.gl_accounts, pay.journal_batches, pay.journal_lines, pay.output_artifacts, pay.payment_events, pay.payment_obligations, pay.payroll_item_lines, pay.payroll_items, pay.payroll_runs, pay.source_consumptions, reporting.kpi_daily, reporting.muster_month, reporting.snapshot_builds</x:v>
      </x:c>
      <x:c r="K184" s="3" t="str">
        <x:v>plans/phase-3-lifecycle-assets-executive.md, backend/src/modules/lifecycle/lifecycle.router.ts, frontend/src/pages/lifecycle/LifecyclePage.tsx, plans/phase-2-payroll-statutory.md, backend/src/api/router.ts, frontend/src/pages/payroll/PayrollPage.tsx</x:v>
      </x:c>
    </x:row>
    <x:row r="185" ht="64" customHeight="1">
      <x:c r="A185" s="3" t="str">
        <x:v>SOW-227</x:v>
      </x:c>
      <x:c r="B185" s="3" t="n">
        <x:v>227</x:v>
      </x:c>
      <x:c r="C185" s="3" t="str">
        <x:v>Protiviti should offers 2 Full and Final cycle.</x:v>
      </x:c>
      <x:c r="D185" s="3" t="str">
        <x:v>Blocked by reviewed defects</x:v>
      </x:c>
      <x:c r="E185" s="3" t="str">
        <x:v>R01, R05, R12, R14, R15, R16, R17, R19, R25, R27, R28, R29, R30, R38, R39</x:v>
      </x:c>
      <x:c r="F185" s="3" t="str">
        <x:v>F&amp;F/alumni are specified; lifecycle/payroll shells only.</x:v>
      </x:c>
      <x:c r="G185" s="3" t="str">
        <x:v>Build the row-specific settlement input, proof/claim submission, reviewed workings, approved deliverables, two monthly cycles, configurable signed TAT or alumni download access. Full F&amp;F pipeline is absent.</x:v>
      </x:c>
      <x:c r="H185" s="3" t="str">
        <x:v>PAY-15/13, CLM-02, LC-06/07</x:v>
      </x:c>
      <x:c r="I185" s="3" t="str">
        <x:v>P02, L05, D11</x:v>
      </x:c>
      <x:c r="J185" s="3" t="str">
        <x:v>att.month_locks, att.overtime_entries, core.clearances, core.letters, core.separations, lv.ledger, pay.arrears, pay.fnf_settlements, pay.inputs, pay.payment_obligations, pay.payroll_item_lines, pay.payroll_items, pay.payroll_runs, pay.run_input_refs, pay.salary_holds, pay.source_consumptions</x:v>
      </x:c>
      <x:c r="K185" s="3" t="str">
        <x:v>plans/phase-3-lifecycle-assets-executive.md, backend/src/modules/lifecycle/lifecycle.router.ts, frontend/src/pages/lifecycle/LifecyclePage.tsx, plans/phase-2-payroll-statutory.md, backend/src/api/router.ts, frontend/src/pages/payroll/PayrollPage.tsx</x:v>
      </x:c>
    </x:row>
    <x:row r="186" ht="51" customHeight="1">
      <x:c r="A186" s="3" t="str">
        <x:v>SOW-228</x:v>
      </x:c>
      <x:c r="B186" s="3" t="n">
        <x:v>228</x:v>
      </x:c>
      <x:c r="C186" s="3" t="str">
        <x:v>The turnaround time to process Full and Final is 3 working days.</x:v>
      </x:c>
      <x:c r="D186" s="3" t="str">
        <x:v>Blocked by reviewed defects</x:v>
      </x:c>
      <x:c r="E186" s="3" t="str">
        <x:v>R01, R05, R12, R14, R15, R16, R17, R19, R25, R27, R28, R29, R30, R38, R39</x:v>
      </x:c>
      <x:c r="F186" s="3" t="str">
        <x:v>F&amp;F/alumni are specified; lifecycle/payroll shells only.</x:v>
      </x:c>
      <x:c r="G186" s="3" t="str">
        <x:v>Build the row-specific settlement input, proof/claim submission, reviewed workings, approved deliverables, two monthly cycles, configurable signed TAT or alumni download access. Full F&amp;F pipeline is absent.</x:v>
      </x:c>
      <x:c r="H186" s="3" t="str">
        <x:v>PAY-15/13, CLM-02, LC-06/07</x:v>
      </x:c>
      <x:c r="I186" s="3" t="str">
        <x:v>L05, D01</x:v>
      </x:c>
      <x:c r="J186" s="3" t="str">
        <x:v>core.clearances, core.letters, core.separations, lv.ledger, pay.fnf_settlements, pay.payment_obligations, pay.payroll_item_lines, pay.payroll_items, pay.payroll_runs</x:v>
      </x:c>
      <x:c r="K186" s="3" t="str">
        <x:v>plans/phase-3-lifecycle-assets-executive.md, backend/src/modules/lifecycle/lifecycle.router.ts, frontend/src/pages/lifecycle/LifecyclePage.tsx, plans/phase-2-payroll-statutory.md, backend/src/api/router.ts, frontend/src/pages/payroll/PayrollPage.tsx</x:v>
      </x:c>
    </x:row>
    <x:row r="187" ht="77" customHeight="1">
      <x:c r="A187" s="3" t="str">
        <x:v>SOW-229</x:v>
      </x:c>
      <x:c r="B187" s="3" t="n">
        <x:v>229</x:v>
      </x:c>
      <x:c r="C187" s="3" t="str">
        <x:v>Protiviti would not interact with resigned employees and details
would be shared only to SPOC.</x:v>
      </x:c>
      <x:c r="D187" s="3" t="str">
        <x:v>Manual/service evidence pending</x:v>
      </x:c>
      <x:c r="E187" s="3" t="str"/>
      <x:c r="F187" s="3" t="str">
        <x:v>Only-SPOC communication is a vendor service/privacy term.</x:v>
      </x:c>
      <x:c r="G187" s="3" t="str">
        <x:v>Confirm who handles exited-employee contact in the replacement; retain agreed SOP. It is not a shipped software feature.</x:v>
      </x:c>
      <x:c r="H187" s="3" t="str">
        <x:v>SOW-10.2 communication restriction</x:v>
      </x:c>
      <x:c r="I187" s="3" t="str">
        <x:v>F04, L05, M01</x:v>
      </x:c>
      <x:c r="J187" s="3" t="str">
        <x:v>cmp.calendar_items, cmp.filing_evidence, cmp.registrations, core.clearances, core.document_operations, core.documents, core.letter_templates, core.letters, core.separations, lv.ledger, pay.fnf_settlements, pay.output_artifacts, pay.payment_obligations, pay.payroll_item_lines, pay.payroll_items, pay.payroll_runs, wf.event_subscriptions, wf.notification_attempts, wf.notifications</x:v>
      </x:c>
      <x:c r="K187" s="3" t="str">
        <x:v>Documention_ProtiVity/SOW Tracker .xlsx, docs/08-ROLES-AND-PERMISSIONS.md</x:v>
      </x:c>
    </x:row>
    <x:row r="188" ht="90" customHeight="1">
      <x:c r="A188" s="3" t="str">
        <x:v>SOW-230</x:v>
      </x:c>
      <x:c r="B188" s="3" t="n">
        <x:v>230</x:v>
      </x:c>
      <x:c r="C188" s="3" t="str">
        <x:v>“Alumni portal” access to exit employees need to be
confirmedly Rashmi Metaliks Limited for RML to download</x:v>
      </x:c>
      <x:c r="D188" s="3" t="str">
        <x:v>Blocked by reviewed defects</x:v>
      </x:c>
      <x:c r="E188" s="3" t="str">
        <x:v>R01, R05, R12, R14, R15, R16, R17, R19, R25, R27, R28, R29, R30, R38, R39</x:v>
      </x:c>
      <x:c r="F188" s="3" t="str">
        <x:v>F&amp;F/alumni are specified; lifecycle/payroll shells only.</x:v>
      </x:c>
      <x:c r="G188" s="3" t="str">
        <x:v>Build the row-specific settlement input, proof/claim submission, reviewed workings, approved deliverables, two monthly cycles, configurable signed TAT or alumni download access. Full F&amp;F pipeline is absent.</x:v>
      </x:c>
      <x:c r="H188" s="3" t="str">
        <x:v>PAY-15/13, CLM-02, LC-06/07</x:v>
      </x:c>
      <x:c r="I188" s="3" t="str">
        <x:v>F03, P04, L05, D03, D11</x:v>
      </x:c>
      <x:c r="J188" s="3" t="str">
        <x:v>core.audit_log, core.clearances, core.documents, core.letters, core.password_reset_tokens, core.permissions, core.role_permissions, core.roles, core.separations, core.settings, core.user_roles, core.users, lv.ledger, pay.bank_batch_lines, pay.bank_batches, pay.fnf_settlements, pay.gl_accounts, pay.journal_batches, pay.journal_lines, pay.output_artifacts, pay.payment_events, pay.payment_obligations, pay.payroll_item_lines, pay.payroll_items, pay.payroll_runs, sec.sessions</x:v>
      </x:c>
      <x:c r="K188" s="3" t="str">
        <x:v>plans/phase-3-lifecycle-assets-executive.md, backend/src/modules/lifecycle/lifecycle.router.ts, frontend/src/pages/lifecycle/LifecyclePage.tsx, plans/phase-2-payroll-statutory.md, backend/src/api/router.ts, frontend/src/pages/payroll/PayrollPage.tsx</x:v>
      </x:c>
    </x:row>
  </x:sheetData>
  <x:conditionalFormatting sqref="D13:D188">
    <x:cfRule type="containsText" dxfId="0" priority="1" operator="containsText" text="Blocked"/>
    <x:cfRule type="containsText" dxfId="1" priority="2" operator="containsText" text="pending"/>
  </x:conditionalFormatting>
  <x:pageMargins left="0.7" right="0.7" top="0.75" bottom="0.75" header="0.3" footer="0.3"/>
  <x:tableParts count="1">
    <x:tablePart xmlns:r="http://schemas.openxmlformats.org/officeDocument/2006/relationships" r:id="R76ed293ebbf94390"/>
  </x:tableParts>
</x:worksheet>
</file>

<file path=xl/worksheets/sheet2.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4" hidden="0" customWidth="1"/>
    <x:col min="2" max="2" width="32" hidden="0" customWidth="1"/>
    <x:col min="3" max="3" width="65" hidden="0" customWidth="1"/>
    <x:col min="4" max="4" width="65" hidden="0" customWidth="1"/>
    <x:col min="5" max="5" width="35" hidden="0" customWidth="1"/>
    <x:col min="6" max="6" width="90" hidden="0" customWidth="1"/>
    <x:col min="7" max="7" width="110" hidden="0" customWidth="1"/>
    <x:col min="8" max="8" width="115" hidden="0" customWidth="1"/>
    <x:col min="9" max="9" width="95" hidden="0" customWidth="1"/>
  </x:cols>
  <x:sheetData>
    <x:row r="1">
      <x:c r="A1" s="1"/>
      <x:c r="B1" s="1"/>
      <x:c r="C1" s="1"/>
      <x:c r="D1" s="1"/>
      <x:c r="E1" s="1"/>
      <x:c r="F1" s="1"/>
      <x:c r="G1" s="1"/>
      <x:c r="H1" s="1"/>
      <x:c r="I1" s="1"/>
    </x:row>
    <x:row r="2">
      <x:c r="A2" s="8" t="str">
        <x:v>Code and schema findings — 14 Oct 2026</x:v>
      </x:c>
      <x:c r="B2" s="1"/>
      <x:c r="C2" s="1"/>
      <x:c r="D2" s="1"/>
      <x:c r="E2" s="1"/>
      <x:c r="F2" s="1"/>
      <x:c r="G2" s="1"/>
      <x:c r="H2" s="1"/>
      <x:c r="I2" s="1"/>
    </x:row>
    <x:row r="3">
      <x:c r="A3" s="1"/>
      <x:c r="B3" s="1"/>
      <x:c r="C3" s="1"/>
      <x:c r="D3" s="1"/>
      <x:c r="E3" s="1"/>
      <x:c r="F3" s="1"/>
      <x:c r="G3" s="1"/>
      <x:c r="H3" s="1"/>
      <x:c r="I3" s="1"/>
    </x:row>
    <x:row r="4">
      <x:c r="A4" s="1" t="str">
        <x:v>Source: 13 Oct review plus current code, regression tests, PostgreSQL 16 replay and disposable upgrade rehearsal.</x:v>
      </x:c>
      <x:c r="B4" s="1"/>
      <x:c r="C4" s="1"/>
      <x:c r="D4" s="1"/>
      <x:c r="E4" s="1"/>
      <x:c r="F4" s="1"/>
      <x:c r="G4" s="1"/>
      <x:c r="H4" s="1"/>
      <x:c r="I4" s="1"/>
    </x:row>
    <x:row r="5">
      <x:c r="A5" s="1"/>
      <x:c r="B5" s="1"/>
      <x:c r="C5" s="1"/>
      <x:c r="D5" s="1"/>
      <x:c r="E5" s="1"/>
      <x:c r="F5" s="1"/>
      <x:c r="G5" s="1"/>
      <x:c r="H5" s="1"/>
      <x:c r="I5" s="1"/>
    </x:row>
    <x:row r="6" ht="32" customHeight="1">
      <x:c r="A6" s="7" t="str">
        <x:v>Finding</x:v>
      </x:c>
      <x:c r="B6" s="7" t="str">
        <x:v>Repair status</x:v>
      </x:c>
      <x:c r="C6" s="7" t="str">
        <x:v>Issue</x:v>
      </x:c>
      <x:c r="D6" s="7" t="str">
        <x:v>Original SOW rows</x:v>
      </x:c>
      <x:c r="E6" s="7" t="str">
        <x:v>Requirement IDs</x:v>
      </x:c>
      <x:c r="F6" s="7" t="str">
        <x:v>Code location at review</x:v>
      </x:c>
      <x:c r="G6" s="7" t="str">
        <x:v>Observed problem</x:v>
      </x:c>
      <x:c r="H6" s="7" t="str">
        <x:v>Remaining repair</x:v>
      </x:c>
      <x:c r="I6" s="7" t="str">
        <x:v>Repair evidence</x:v>
      </x:c>
    </x:row>
    <x:row r="7" ht="51" customHeight="1">
      <x:c r="A7" s="3" t="str">
        <x:v>R01</x:v>
      </x:c>
      <x:c r="B7" s="3" t="str">
        <x:v>verified-fixed</x:v>
      </x:c>
      <x:c r="C7" s="3" t="str">
        <x:v>Fresh migration chain cannot build claims schema</x:v>
      </x:c>
      <x:c r="D7" s="3" t="str">
        <x:v>SOW-027, SOW-028, SOW-029, SOW-030, SOW-181, SOW-187, SOW-221, SOW-223, SOW-224, SOW-225, SOW-227, SOW-228, SOW-230</x:v>
      </x:c>
      <x:c r="E7" s="3" t="str">
        <x:v>NFR-04, CLM-02</x:v>
      </x:c>
      <x:c r="F7" s="3" t="str">
        <x:v>backend/migrations/1752270000000_claims-reconciliation.ts:29</x:v>
      </x:c>
      <x:c r="G7" s="3" t="str">
        <x:v>The earlier payroll migration creates a claim table without budget_id/reference; this later migration assumes both exist. Existing hrms masks the missing historical budget migration. Fresh up failed at budget_id on disposable PostgreSQL17; native14 separately fails on NULLS syntax.</x:v>
      </x:c>
      <x:c r="H7" s="3" t="str">
        <x:v>Fresh49 up/no-op/down/up and upgrade of disposable existing-data clone pass on PG16.15/Node24. Original hrms schema not migrated. Forward-only compatibility rollback retains added columns on one-step down.</x:v>
      </x:c>
      <x:c r="I7" s="3" t="str">
        <x:v>migration-rehearsal-pg16.json
existing-db-upgrade-rehearsal.json
fresh-pg16-vs-existing-schema.json</x:v>
      </x:c>
    </x:row>
    <x:row r="8" ht="64" customHeight="1">
      <x:c r="A8" s="3" t="str">
        <x:v>R02</x:v>
      </x:c>
      <x:c r="B8" s="3" t="str">
        <x:v>partial-repair-verified</x:v>
      </x:c>
      <x:c r="C8" s="3" t="str">
        <x:v>Applied schema and typed checkout still disagree</x:v>
      </x:c>
      <x:c r="D8" s="3" t="str">
        <x:v>SOW-004, SOW-005, SOW-010, SOW-128</x:v>
      </x:c>
      <x:c r="E8" s="3" t="str">
        <x:v>CORE-12, NFR-04</x:v>
      </x:c>
      <x:c r="F8" s="3" t="str">
        <x:v>backend/src/core/db/types.ts:1404</x:v>
      </x:c>
      <x:c r="G8" s="3" t="str">
        <x:v>Local catalog has 132 business relations and 48 applied migrations; 13 applied migration sources are absent. Database interface covers92 relations, leaving40 untyped. pay.gl_accounts declares cost_center_id and gl_description that do not exist physically; actual ownership uses company_code/plant_code/cost_center_code. IF NOT EXISTS does not reconcile a different existing definition.</x:v>
      </x:c>
      <x:c r="H8" s="3" t="str">
        <x:v>All132 relation/column names aligned;154 timestamp wrappers corrected; claim_type_id nullable corrected. Deep CHECK-domain/enum compatibility and deferred-feature acceptance remain open.</x:v>
      </x:c>
      <x:c r="I8" s="3" t="str">
        <x:v>type-compatibility.json
fresh-pg16-vs-existing-schema.json</x:v>
      </x:c>
    </x:row>
    <x:row r="9" ht="64" customHeight="1">
      <x:c r="A9" s="3" t="str">
        <x:v>R03</x:v>
      </x:c>
      <x:c r="B9" s="3" t="str">
        <x:v>partial-repair-verified</x:v>
      </x:c>
      <x:c r="C9" s="3" t="str">
        <x:v>Payroll attendance SQL is incompatible and day arithmetic is unsafe</x:v>
      </x:c>
      <x:c r="D9" s="3" t="str">
        <x:v>SOW-003, SOW-068, SOW-072, SOW-073, SOW-074, SOW-075, SOW-076, SOW-077, SOW-081, SOW-103, SOW-104, SOW-105, SOW-106, SOW-107, SOW-109, SOW-110, SOW-111, SOW-113, SOW-114, SOW-115, SOW-116</x:v>
      </x:c>
      <x:c r="E9" s="3" t="str">
        <x:v>ATT-09, ATT-15, PAY-04</x:v>
      </x:c>
      <x:c r="F9" s="3" t="str">
        <x:v>backend/src/modules/payroll-core/runs/run.service.ts:274</x:v>
      </x:c>
      <x:c r="G9" s="3" t="str">
        <x:v>Actual column is work_date; paid_wo/paid_l are not enum statuses. Read-only EXPLAIN reproduced both errors. COUNT(CASE ... HD THEN0.5) counts HD as1 (P+HD became2 instead of1.5). Zero payable attendance keeps the initialized full month, so correcting SQL alone still overpays wholly absent employees.</x:v>
      </x:c>
      <x:c r="H9" s="3" t="str">
        <x:v>Real locked attendance query fixes enum/date errors, half-days, paid leave/weekoffs, completeness and zero payable days. Full run policy integration remains open.</x:v>
      </x:c>
      <x:c r="I9" s="3" t="str">
        <x:v>backend/tests/payroll-attendance.integration.test.ts</x:v>
      </x:c>
    </x:row>
    <x:row r="10" ht="77" customHeight="1">
      <x:c r="A10" s="3" t="str">
        <x:v>R04</x:v>
      </x:c>
      <x:c r="B10" s="3" t="str">
        <x:v>partial-repair-verified</x:v>
      </x:c>
      <x:c r="C10" s="3" t="str">
        <x:v>Mid-month salary assignments can be skipped silently</x:v>
      </x:c>
      <x:c r="D10" s="3" t="str">
        <x:v>SOW-003, SOW-012, SOW-013, SOW-014, SOW-026, SOW-033, SOW-034, SOW-036, SOW-037, SOW-038, SOW-068, SOW-072, SOW-073, SOW-074, SOW-075, SOW-076, SOW-077, SOW-081, SOW-082, SOW-103, SOW-104, SOW-105, SOW-106, SOW-107, SOW-109, SOW-110, SOW-111, SOW-113, SOW-114, SOW-115, SOW-116</x:v>
      </x:c>
      <x:c r="E10" s="3" t="str">
        <x:v>PAY-02, PAY-04, PAY-16</x:v>
      </x:c>
      <x:c r="F10" s="3" t="str">
        <x:v>backend/src/modules/payroll-core/runs/run.service.ts:250</x:v>
      </x:c>
      <x:c r="G10" s="3" t="str">
        <x:v>Salary lookup uses first of month; a new joiner or first assignment effective later that month has no matching row and is silently skipped. emp.doj is loaded but never used to produce the required partial-month pay.</x:v>
      </x:c>
      <x:c r="H10" s="3" t="str">
        <x:v>Includes overlap tenure and mid-month first assignment; missing/empty/gapped/multiple salary segments fail closed. Multiple-revision segment computation remains open.</x:v>
      </x:c>
      <x:c r="I10" s="3" t="str">
        <x:v>backend/src/modules/payroll-core/runs/run.service.ts</x:v>
      </x:c>
    </x:row>
    <x:row r="11" ht="155" customHeight="1">
      <x:c r="A11" s="3" t="str">
        <x:v>R05</x:v>
      </x:c>
      <x:c r="B11" s="3" t="str">
        <x:v>open</x:v>
      </x:c>
      <x:c r="C11" s="3" t="str">
        <x:v>Real payroll never supplies required statutory and debt facts</x:v>
      </x:c>
      <x:c r="D11" s="3" t="str">
        <x:v>SOW-003, SOW-010, SOW-027, SOW-028, SOW-029, SOW-030, SOW-072, SOW-073, SOW-074, SOW-075, SOW-076, SOW-077, SOW-081, SOW-095, SOW-096, SOW-097, SOW-098, SOW-099, SOW-100, SOW-101, SOW-118, SOW-119, SOW-120, SOW-121, SOW-122, SOW-123, SOW-124, SOW-130, SOW-141, SOW-142, SOW-145, SOW-146, SOW-147, SOW-149, SOW-150, SOW-151, SOW-152, SOW-153, SOW-154, SOW-155, SOW-156, SOW-157, SOW-158, SOW-159, SOW-160, SOW-162, SOW-163, SOW-164, SOW-165, SOW-166, SOW-167, SOW-168, SOW-178, SOW-179, SOW-181, SOW-184, SOW-185, SOW-187, SOW-221, SOW-223, SOW-224, SOW-225, SOW-227, SOW-228, SOW-230</x:v>
      </x:c>
      <x:c r="E11" s="3" t="str">
        <x:v>PAY-09, PAY-10, PAY-12, PAY-13, PAY-14, LN-03</x:v>
      </x:c>
      <x:c r="F11" s="3" t="str">
        <x:v>backend/src/modules/payroll-core/runs/run.service.ts:292</x:v>
      </x:c>
      <x:c r="G11" s="3" t="str">
        <x:v>The production orchestration supplies salary/days/inputs/arrears/hold only. It does not load approved effective PF policy, employee applicability/category/contract, ESIC period membership, TDS projection, LWF or loan installments. The engine defaults PF ceiling, TDS/LWF0 and current-gross ESIC; standalone statutory helpers passing tests do not fix the run.</x:v>
      </x:c>
      <x:c r="H11" s="3" t="str">
        <x:v>Freeze and pass authoritative effective policy, membership, tax/YTD and debt facts; call the same tested statutory engines used by previews. Prove end-to-end run goldens including mid-period ESIC increase, apprentice and existing loan.</x:v>
      </x:c>
      <x:c r="I11" s="3" t="str">
        <x:v>Source + specifications</x:v>
      </x:c>
    </x:row>
    <x:row r="12" ht="64" customHeight="1">
      <x:c r="A12" s="3" t="str">
        <x:v>R06</x:v>
      </x:c>
      <x:c r="B12" s="3" t="str">
        <x:v>partial-repair-verified</x:v>
      </x:c>
      <x:c r="C12" s="3" t="str">
        <x:v>Recovery inputs print but do not reduce net pay</x:v>
      </x:c>
      <x:c r="D12" s="3" t="str">
        <x:v>SOW-003, SOW-068, SOW-072, SOW-073, SOW-074, SOW-075, SOW-076, SOW-077, SOW-081, SOW-103, SOW-104, SOW-105, SOW-106, SOW-107, SOW-109, SOW-110, SOW-111, SOW-113, SOW-114, SOW-115, SOW-116, SOW-136, SOW-137</x:v>
      </x:c>
      <x:c r="E12" s="3" t="str">
        <x:v>PAY-04, PAY-08</x:v>
      </x:c>
      <x:c r="F12" s="3" t="str">
        <x:v>backend/src/modules/payroll-core/engine/compute-engine.ts:255</x:v>
      </x:c>
      <x:c r="G12" s="3" t="str">
        <x:v>Deduction-kind variable inputs emit a positive line but never increment totalDeductionsPaise. A synthetic BASIC10000 plus GUEST_HOUSE2500 produced net8800 with only PF1200 deducted; expected recovery changes net to6300 under the same supplied policy.</x:v>
      </x:c>
      <x:c r="H12" s="3" t="str">
        <x:v>Six recovery goldens pass; input/arrear kinds update deductions and earning PF base. Full-run and human review pending.</x:v>
      </x:c>
      <x:c r="I12" s="3" t="str">
        <x:v>backend/tests/payroll-recovery.test.ts</x:v>
      </x:c>
    </x:row>
    <x:row r="13" ht="64" customHeight="1">
      <x:c r="A13" s="3" t="str">
        <x:v>R07</x:v>
      </x:c>
      <x:c r="B13" s="3" t="str">
        <x:v>partial-safety-repair</x:v>
      </x:c>
      <x:c r="C13" s="3" t="str">
        <x:v>Detected OT is paid without approval and uses an absent component</x:v>
      </x:c>
      <x:c r="D13" s="3" t="str">
        <x:v>SOW-003, SOW-062, SOW-063, SOW-064, SOW-065, SOW-068, SOW-072, SOW-073, SOW-074, SOW-075, SOW-076, SOW-077, SOW-081, SOW-103, SOW-104, SOW-105, SOW-106, SOW-107, SOW-109, SOW-110, SOW-111, SOW-113, SOW-114, SOW-115, SOW-116</x:v>
      </x:c>
      <x:c r="E13" s="3" t="str">
        <x:v>ATT-08, LV-04, PAY-04</x:v>
      </x:c>
      <x:c r="F13" s="3" t="str">
        <x:v>backend/src/modules/payroll-core/runs/run.service.ts:277</x:v>
      </x:c>
      <x:c r="G13" s="3" t="str">
        <x:v>Run sums detected day_record OT instead of approved overtime_entries, with no paid-once/comp-off consumption. Engine emits OT_PAY while seed/local catalog contain OT and no OT_PAY, causing a line FK failure whenever payable OT is produced.</x:v>
      </x:c>
      <x:c r="H13" s="3" t="str">
        <x:v>Detected OT no longer paid. Unconsumed approved OT blocks computation pending configured rate/once-only consumption integration.</x:v>
      </x:c>
      <x:c r="I13" s="3" t="str">
        <x:v>backend/src/modules/payroll-core/runs/run.service.ts</x:v>
      </x:c>
    </x:row>
    <x:row r="14" ht="51" customHeight="1">
      <x:c r="A14" s="3" t="str">
        <x:v>R08</x:v>
      </x:c>
      <x:c r="B14" s="3" t="str">
        <x:v>open</x:v>
      </x:c>
      <x:c r="C14" s="3" t="str">
        <x:v>Arrears can be paid again on subsequent runs</x:v>
      </x:c>
      <x:c r="D14" s="3" t="str">
        <x:v>SOW-003, SOW-036, SOW-037, SOW-038, SOW-082, SOW-103, SOW-104, SOW-105, SOW-106, SOW-107, SOW-109, SOW-110, SOW-111, SOW-116</x:v>
      </x:c>
      <x:c r="E14" s="3" t="str">
        <x:v>PAY-16</x:v>
      </x:c>
      <x:c r="F14" s="3" t="str">
        <x:v>backend/src/modules/payroll-core/runs/run.service.ts:218</x:v>
      </x:c>
      <x:c r="G14" s="3" t="str">
        <x:v>Unpaid arrears for_month&lt;=month are loaded into calculation, but compute/finalize never marks their consumption or creates a unique consumption posting. Every later run selects the same rows again.</x:v>
      </x:c>
      <x:c r="H14" s="3" t="str">
        <x:v>Reserve/consume each signed delta exactly once in the same financial transaction; preserve original/result versions and retry-safe keys.</x:v>
      </x:c>
      <x:c r="I14" s="3" t="str">
        <x:v>Source + specifications</x:v>
      </x:c>
    </x:row>
    <x:row r="15" ht="77" customHeight="1">
      <x:c r="A15" s="3" t="str">
        <x:v>R09</x:v>
      </x:c>
      <x:c r="B15" s="3" t="str">
        <x:v>partial-repair-verified</x:v>
      </x:c>
      <x:c r="C15" s="3" t="str">
        <x:v>Finalization ignores line and review reconciliation failures</x:v>
      </x:c>
      <x:c r="D15" s="3" t="str">
        <x:v>SOW-003, SOW-065, SOW-068, SOW-072, SOW-073, SOW-074, SOW-075, SOW-076, SOW-077, SOW-079, SOW-081, SOW-091, SOW-093, SOW-095, SOW-096, SOW-097, SOW-098, SOW-099, SOW-100, SOW-101, SOW-103, SOW-104, SOW-105, SOW-106, SOW-107, SOW-109, SOW-110, SOW-111, SOW-113, SOW-114, SOW-115, SOW-116</x:v>
      </x:c>
      <x:c r="E15" s="3" t="str">
        <x:v>PAY-03, PAY-04, NFR-04</x:v>
      </x:c>
      <x:c r="F15" s="3" t="str">
        <x:v>backend/src/modules/payroll-core/runs/run.service.ts:477</x:v>
      </x:c>
      <x:c r="G15" s="3" t="str">
        <x:v>Finalize checks aggregate discrepancy only, ignoring recon.isReconciled, lineMismatchCount and negativeNetCount. Reconciliation also compares sum of positive earning+deduction line amounts with net, and does not include that mismatch in isReconciled. Zero aggregate discrepancy can finalize an empty or line-inconsistent run.</x:v>
      </x:c>
      <x:c r="H15" s="3" t="str">
        <x:v>Positive deductions reconciled separately, employer excluded; bad lines, empty and negative net fail. Frozen expected population, snapshot classifications and review dispositions remain open.</x:v>
      </x:c>
      <x:c r="I15" s="3" t="str">
        <x:v>backend/tests/payroll-reconciliation.integration.test.ts</x:v>
      </x:c>
    </x:row>
    <x:row r="16" ht="90" customHeight="1">
      <x:c r="A16" s="3" t="str">
        <x:v>R10</x:v>
      </x:c>
      <x:c r="B16" s="3" t="str">
        <x:v>open</x:v>
      </x:c>
      <x:c r="C16" s="3" t="str">
        <x:v>Closed payroll results remain editable</x:v>
      </x:c>
      <x:c r="D16" s="3" t="str">
        <x:v>SOW-003, SOW-036, SOW-037, SOW-038, SOW-065, SOW-068, SOW-072, SOW-073, SOW-074, SOW-075, SOW-076, SOW-077, SOW-079, SOW-081, SOW-082, SOW-091, SOW-093, SOW-095, SOW-096, SOW-097, SOW-098, SOW-099, SOW-100, SOW-101, SOW-103, SOW-104, SOW-105, SOW-106, SOW-107, SOW-109, SOW-110, SOW-111, SOW-116</x:v>
      </x:c>
      <x:c r="E16" s="3" t="str">
        <x:v>PAY-03, PAY-16, NFR-04</x:v>
      </x:c>
      <x:c r="F16" s="3" t="str">
        <x:v>backend/migrations/1752220000000_pay-schema-init.ts:168</x:v>
      </x:c>
      <x:c r="G16" s="3" t="str">
        <x:v>Headers guard UPDATE/DELETE only; item lines have no immutability trigger and headers allow INSERT into closed runs. Inputs remain mutable. Finalized runs can be reopened and their results deleted/rebuilt; paid-run updates are unrestricted by the run trigger. Actual catalog confirms no line trigger.</x:v>
      </x:c>
      <x:c r="H16" s="3" t="str">
        <x:v>Protect insert/update/delete of all frozen facts/results using DB constraints/triggers and grants. Retro creates new versions and current-period deltas; preserve original closed results.</x:v>
      </x:c>
      <x:c r="I16" s="3" t="str">
        <x:v>local-schema.json; source migration/service</x:v>
      </x:c>
    </x:row>
    <x:row r="17" ht="64" customHeight="1">
      <x:c r="A17" s="3" t="str">
        <x:v>R11</x:v>
      </x:c>
      <x:c r="B17" s="3" t="str">
        <x:v>partial-repair-verified</x:v>
      </x:c>
      <x:c r="C17" s="3" t="str">
        <x:v>Maker/checker validation fails open on missing evidence</x:v>
      </x:c>
      <x:c r="D17" s="3" t="str">
        <x:v>SOW-003, SOW-009, SOW-065, SOW-068, SOW-072, SOW-073, SOW-074, SOW-075, SOW-076, SOW-077, SOW-079, SOW-081, SOW-091, SOW-093, SOW-095, SOW-096, SOW-097, SOW-098, SOW-099, SOW-100, SOW-101, SOW-213</x:v>
      </x:c>
      <x:c r="E17" s="3" t="str">
        <x:v>PAY-03, CORE-10</x:v>
      </x:c>
      <x:c r="F17" s="3" t="str">
        <x:v>backend/src/modules/payroll-core/runs/run-state-machine.ts:79</x:v>
      </x:c>
      <x:c r="G17" s="3" t="str">
        <x:v>Missing makerUserId is accepted; missing reconciliationDiffPaise is accepted. Real service derives maker from an optional audit row, and state updates/audit are separate operations without compare-and-swap. Independent hr_head co-sign is not recorded as a distinct required approval.</x:v>
      </x:c>
      <x:c r="H17" s="3" t="str">
        <x:v>Missing maker/reconciliation rejected. Latest computation actor identifies maker. State and audit use one locked transaction. Durable result-version authority/concurrency proof remains open.</x:v>
      </x:c>
      <x:c r="I17" s="3" t="str">
        <x:v>backend/tests/payroll-run-guards.test.ts
backend/tests/payroll-run-atomicity.integration.test.ts</x:v>
      </x:c>
    </x:row>
    <x:row r="18" ht="103" customHeight="1">
      <x:c r="A18" s="3" t="str">
        <x:v>R12</x:v>
      </x:c>
      <x:c r="B18" s="3" t="str">
        <x:v>open</x:v>
      </x:c>
      <x:c r="C18" s="3" t="str">
        <x:v>New API routes disagree with product callers</x:v>
      </x:c>
      <x:c r="D18" s="3" t="str">
        <x:v>SOW-003, SOW-009, SOW-027, SOW-028, SOW-029, SOW-030, SOW-065, SOW-068, SOW-072, SOW-073, SOW-074, SOW-075, SOW-076, SOW-077, SOW-079, SOW-081, SOW-091, SOW-093, SOW-095, SOW-096, SOW-097, SOW-098, SOW-099, SOW-100, SOW-101, SOW-118, SOW-119, SOW-120, SOW-121, SOW-122, SOW-124, SOW-181, SOW-187, SOW-213, SOW-221, SOW-223, SOW-224, SOW-225, SOW-227, SOW-228, SOW-230</x:v>
      </x:c>
      <x:c r="E18" s="3" t="str">
        <x:v>CORE-10, CLM-02, LN-02, PAY-03</x:v>
      </x:c>
      <x:c r="F18" s="3" t="str">
        <x:v>backend/src/modules/claims/claims.router.ts:86</x:v>
      </x:c>
      <x:c r="G18" s="3" t="str">
        <x:v>Middleware already mounts /api; loans/claims add /api again. /api/claims/my and /api/loans/my return404; /api/api/... matches401. Payroll/lifecycle handlers without explicit routes default to procedure paths/methods; product callers use different REST paths and response envelopes. Claims/loans also bypass authenticated apiFetch with raw fetch.</x:v>
      </x:c>
      <x:c r="H18" s="3" t="str">
        <x:v>Generate and use the OpenAPI client, define explicit matching routes without a duplicate prefix, align input/output contracts and authenticated transport; test real browser-&gt;API flows.</x:v>
      </x:c>
      <x:c r="I18" s="3" t="str">
        <x:v>http-probes.json; openapi.json; ClaimsPage/LoansPage/SeparationBoardPage</x:v>
      </x:c>
    </x:row>
    <x:row r="19" ht="77" customHeight="1">
      <x:c r="A19" s="3" t="str">
        <x:v>R13</x:v>
      </x:c>
      <x:c r="B19" s="3" t="str">
        <x:v>open</x:v>
      </x:c>
      <x:c r="C19" s="3" t="str">
        <x:v>Payroll UI simulates successful computation and payment facts</x:v>
      </x:c>
      <x:c r="D19" s="3" t="str">
        <x:v>SOW-003, SOW-027, SOW-028, SOW-029, SOW-030, SOW-065, SOW-068, SOW-072, SOW-073, SOW-074, SOW-075, SOW-076, SOW-077, SOW-079, SOW-081, SOW-091, SOW-093, SOW-095, SOW-096, SOW-097, SOW-098, SOW-099, SOW-100, SOW-101, SOW-181, SOW-182, SOW-187</x:v>
      </x:c>
      <x:c r="E19" s="3" t="str">
        <x:v>PAY-03, PAY-05, PAY-06</x:v>
      </x:c>
      <x:c r="F19" s="3" t="str">
        <x:v>frontend/src/pages/payroll/PayrollPage.tsx:291</x:v>
      </x:c>
      <x:c r="G19" s="3" t="str">
        <x:v>Run controls only change React state and show success toasts; no backend calls occur. Finalize claims outputs generated, downloads only toast, and displayed employees/lock/timing are sample constants. MyPayPage displays a fixed sample payslip and Disbursed to Bank for arbitrary months.</x:v>
      </x:c>
      <x:c r="H19" s="3" t="str">
        <x:v>Read authoritative runs/results, persist actions through protected API, surface pending/error states and download actual generated artifacts. Keep fixture demos outside product routes.</x:v>
      </x:c>
      <x:c r="I19" s="3" t="str">
        <x:v>Source + specifications</x:v>
      </x:c>
    </x:row>
    <x:row r="20" ht="90" customHeight="1">
      <x:c r="A20" s="3" t="str">
        <x:v>R14</x:v>
      </x:c>
      <x:c r="B20" s="3" t="str">
        <x:v>open</x:v>
      </x:c>
      <x:c r="C20" s="3" t="str">
        <x:v>API errors silently become sample employee records</x:v>
      </x:c>
      <x:c r="D20" s="3" t="str">
        <x:v>SOW-010, SOW-022, SOW-025, SOW-027, SOW-028, SOW-029, SOW-030, SOW-031, SOW-033, SOW-034, SOW-040, SOW-041, SOW-042, SOW-044, SOW-118, SOW-119, SOW-120, SOW-121, SOW-122, SOW-124, SOW-127, SOW-129, SOW-182, SOW-204, SOW-218, SOW-221, SOW-222, SOW-223, SOW-224, SOW-225, SOW-227, SOW-228, SOW-230</x:v>
      </x:c>
      <x:c r="E20" s="3" t="str">
        <x:v>LC-01, LC-04, LC-06, LN-01</x:v>
      </x:c>
      <x:c r="F20" s="3" t="str">
        <x:v>frontend/src/pages/lifecycle/SeparationBoardPage.tsx:241</x:v>
      </x:c>
      <x:c r="G20" s="3" t="str">
        <x:v>Separation, onboarding, probation and loan screens insert realistic sample IDs/people/amounts in catch blocks without a dev-only guard. Missing/unauthorized/broken APIs look like actual business records, and action buttons can submit sample IDs.</x:v>
      </x:c>
      <x:c r="H20" s="3" t="str">
        <x:v>Remove product fake-data fallbacks; separate explicit dev fixtures and use honest loading/empty/permission/error states. Load master selectors and IDs from the API.</x:v>
      </x:c>
      <x:c r="I20" s="3" t="str">
        <x:v>Source + specifications</x:v>
      </x:c>
    </x:row>
    <x:row r="21" ht="64" customHeight="1">
      <x:c r="A21" s="3" t="str">
        <x:v>R15</x:v>
      </x:c>
      <x:c r="B21" s="3" t="str">
        <x:v>open</x:v>
      </x:c>
      <x:c r="C21" s="3" t="str">
        <x:v>New financial/lifecycle endpoints do not enforce ownership scope</x:v>
      </x:c>
      <x:c r="D21" s="3" t="str">
        <x:v>SOW-009, SOW-040, SOW-041, SOW-042, SOW-044, SOW-204, SOW-213, SOW-218, SOW-221, SOW-222, SOW-223, SOW-224, SOW-225, SOW-227, SOW-228, SOW-230</x:v>
      </x:c>
      <x:c r="E21" s="3" t="str">
        <x:v>CORE-10, LC-06, LN-04</x:v>
      </x:c>
      <x:c r="F21" s="3" t="str">
        <x:v>backend/src/modules/lifecycle/separation/separation.router.ts:83</x:v>
      </x:c>
      <x:c r="G21" s="3" t="str">
        <x:v>Any logged-in caller supplies employeeId for resignation without a self check; Loans getLedger accepts arbitrary loanId without ownership. Many permission-gated payroll/lifecycle/claims handlers discard permissionAccess and operate globally, so scoped managers/HR can act outside their permitted subjects.</x:v>
      </x:c>
      <x:c r="H21" s="3" t="str">
        <x:v>Require one declared business permission and server-derived self/subtree/entity/category scope on reads and writes; deny foreign subject IDs and test all restricted roles.</x:v>
      </x:c>
      <x:c r="I21" s="3" t="str">
        <x:v>Source + specifications</x:v>
      </x:c>
    </x:row>
    <x:row r="22" ht="51" customHeight="1">
      <x:c r="A22" s="3" t="str">
        <x:v>R16</x:v>
      </x:c>
      <x:c r="B22" s="3" t="str">
        <x:v>open</x:v>
      </x:c>
      <x:c r="C22" s="3" t="str">
        <x:v>F&amp;F substitutes fixture salary, leave and payable days</x:v>
      </x:c>
      <x:c r="D22" s="3" t="str">
        <x:v>SOW-003, SOW-040, SOW-041, SOW-042, SOW-044, SOW-060, SOW-204, SOW-218, SOW-221, SOW-222, SOW-223, SOW-224, SOW-225, SOW-227, SOW-228, SOW-230</x:v>
      </x:c>
      <x:c r="E22" s="3" t="str">
        <x:v>PAY-15, LV-06, LC-06</x:v>
      </x:c>
      <x:c r="F22" s="3" t="str">
        <x:v>backend/src/modules/lifecycle/separation/separation.service.ts:382</x:v>
      </x:c>
      <x:c r="G22" s="3" t="str">
        <x:v>Missing salary uses BASIC32286/Gross64573 from G8, missing inputs use15 payable days and12 EL days, held salary is holds.length&gt;0?0:0, and DOJ has a fallback. These values are written into settlement rows as business facts instead of reading locked attendance/leave/debt/tax ledgers.</x:v>
      </x:c>
      <x:c r="H22" s="3" t="str">
        <x:v>Require authoritative as-of salary, attendance, leave ledger, paid holds, debt and final tax inputs. Fail missing facts explicitly; retain frozen calculation provenance and reviewed overrides.</x:v>
      </x:c>
      <x:c r="I22" s="3" t="str">
        <x:v>Source + specifications</x:v>
      </x:c>
    </x:row>
    <x:row r="23" ht="64" customHeight="1">
      <x:c r="A23" s="3" t="str">
        <x:v>R17</x:v>
      </x:c>
      <x:c r="B23" s="3" t="str">
        <x:v>open</x:v>
      </x:c>
      <x:c r="C23" s="3" t="str">
        <x:v>F&amp;F can mark paid and issue letters without approval/payment</x:v>
      </x:c>
      <x:c r="D23" s="3" t="str">
        <x:v>SOW-003, SOW-040, SOW-041, SOW-042, SOW-044, SOW-060, SOW-139, SOW-204, SOW-216, SOW-218, SOW-221, SOW-222, SOW-223, SOW-224, SOW-225, SOW-227, SOW-228, SOW-230</x:v>
      </x:c>
      <x:c r="E23" s="3" t="str">
        <x:v>PAY-15, LC-06, LC-07, CORE-11</x:v>
      </x:c>
      <x:c r="F23" s="3" t="str">
        <x:v>backend/src/modules/lifecycle/separation/separation.service.ts:518</x:v>
      </x:c>
      <x:c r="G23" s="3" t="str">
        <x:v>Method accepts any existing settlement, does not validate approved state/resolved clearances/checker or external payment receipt, issues letters then marks paid and changes employee/roles through separate autocommits. Retries can duplicate letters; a later error leaves a partial exit. Endpoint uses payroll.run.manage.</x:v>
      </x:c>
      <x:c r="H23" s="3" t="str">
        <x:v>Implement approved immutable settlement-&gt;payment obligation-&gt;verified receipt transitions, with maker/checker, idempotency, audit/outbox and atomic exit/letter release. Do not label queued payouts paid.</x:v>
      </x:c>
      <x:c r="I23" s="3" t="str">
        <x:v>Source + specifications</x:v>
      </x:c>
    </x:row>
    <x:row r="24" ht="64" customHeight="1">
      <x:c r="A24" s="3" t="str">
        <x:v>R18</x:v>
      </x:c>
      <x:c r="B24" s="3" t="str">
        <x:v>open</x:v>
      </x:c>
      <x:c r="C24" s="3" t="str">
        <x:v>Onboarding conversion is not atomic and creates unusable salary/login</x:v>
      </x:c>
      <x:c r="D24" s="3" t="str">
        <x:v>SOW-003, SOW-010, SOW-012, SOW-013, SOW-014, SOW-022, SOW-025, SOW-026, SOW-031, SOW-033, SOW-034, SOW-127, SOW-129, SOW-130, SOW-132, SOW-133, SOW-134, SOW-182</x:v>
      </x:c>
      <x:c r="E24" s="3" t="str">
        <x:v>LC-01, LC-02, PAY-02, CORE-04</x:v>
      </x:c>
      <x:c r="F24" s="3" t="str">
        <x:v>backend/src/modules/lifecycle/onboarding/onboarding.service.ts:285</x:v>
      </x:c>
      <x:c r="G24" s="3" t="str">
        <x:v>Atomic conversion is claimed but no transaction/row lock wraps employee/user/salary/candidate/tasks/review. It omits cost-center assignment, writes salary component_amounts:{} and password_hash:PENDING_INITIAL_LOGIN without initial credential delivery or employee grants. Failure/retry can leave partial master data.</x:v>
      </x:c>
      <x:c r="H24" s="3" t="str">
        <x:v>Use the existing validated employee/e-code/salary/auth public APIs inside one owned transaction. Resolve mandatory master links and actual salary breakup, candidate consumption key, welcome credentials/grants and outbox tasks.</x:v>
      </x:c>
      <x:c r="I24" s="3" t="str">
        <x:v>Source + specifications</x:v>
      </x:c>
    </x:row>
    <x:row r="25" ht="64" customHeight="1">
      <x:c r="A25" s="3" t="str">
        <x:v>R19</x:v>
      </x:c>
      <x:c r="B25" s="3" t="str">
        <x:v>open</x:v>
      </x:c>
      <x:c r="C25" s="3" t="str">
        <x:v>Lifecycle approval and notification claims lack workflow records</x:v>
      </x:c>
      <x:c r="D25" s="3" t="str">
        <x:v>SOW-022, SOW-033, SOW-034, SOW-040, SOW-041, SOW-042, SOW-044, SOW-058, SOW-064, SOW-204, SOW-218, SOW-221, SOW-222, SOW-223, SOW-224, SOW-225, SOW-227, SOW-228, SOW-230</x:v>
      </x:c>
      <x:c r="E25" s="3" t="str">
        <x:v>WF-01, WF-04, LC-04, LC-06</x:v>
      </x:c>
      <x:c r="F25" s="3" t="str">
        <x:v>backend/src/modules/lifecycle/separation/separation.service.ts:68</x:v>
      </x:c>
      <x:c r="G25" s="3" t="str">
        <x:v>Resignation creates no wf.request/steps, probation decides directly, and transfers set notified_at=now without enqueueing a notification. Prejoin ingestion sets sent_at although no send is enqueued. Comments/trackers claim multi-tier approval and delivery proof that these paths do not create.</x:v>
      </x:c>
      <x:c r="H25" s="3" t="str">
        <x:v>Wire authoritative versioned workflow requests and domain hooks, transactional audit/outbox and actual notification attempts/receipts. Never manufacture sent/verified timestamps.</x:v>
      </x:c>
      <x:c r="I25" s="3" t="str">
        <x:v>Source + specifications</x:v>
      </x:c>
    </x:row>
    <x:row r="26" ht="64" customHeight="1">
      <x:c r="A26" s="3" t="str">
        <x:v>R20</x:v>
      </x:c>
      <x:c r="B26" s="3" t="str">
        <x:v>open</x:v>
      </x:c>
      <x:c r="C26" s="3" t="str">
        <x:v>Probation confirmation leaves a salary gap and zero components</x:v>
      </x:c>
      <x:c r="D26" s="3" t="str">
        <x:v>SOW-003, SOW-012, SOW-013, SOW-014, SOW-026, SOW-033, SOW-034</x:v>
      </x:c>
      <x:c r="E26" s="3" t="str">
        <x:v>LC-04, PAY-02</x:v>
      </x:c>
      <x:c r="F26" s="3" t="str">
        <x:v>backend/src/modules/lifecycle/probation/probation.service.ts:191</x:v>
      </x:c>
      <x:c r="G26" s="3" t="str">
        <x:v>The temporal range is [effective_from,effective_to), but confirmation closes the old salary at previous day, leaving that day uncovered. New confirmed salary has empty component_amounts; updates are separate autocommits and there is no completed-review retry guard. Separated outcome only marks the review; no separation is initiated.</x:v>
      </x:c>
      <x:c r="H26" s="3" t="str">
        <x:v>Close the prior interval at confirmation date, resolve actual approved salary amounts, make decision/salary/employee/letter effects atomic and idempotent, and connect non-confirmation separation.</x:v>
      </x:c>
      <x:c r="I26" s="3" t="str">
        <x:v>Source + specifications</x:v>
      </x:c>
    </x:row>
    <x:row r="27" ht="51" customHeight="1">
      <x:c r="A27" s="3" t="str">
        <x:v>R21</x:v>
      </x:c>
      <x:c r="B27" s="3" t="str">
        <x:v>open</x:v>
      </x:c>
      <x:c r="C27" s="3" t="str">
        <x:v>Transfer e-codes use employee count instead of allocator</x:v>
      </x:c>
      <x:c r="D27" s="3" t="str">
        <x:v>SOW-036, SOW-037, SOW-038, SOW-083, SOW-095, SOW-096, SOW-097, SOW-098, SOW-099, SOW-100, SOW-101</x:v>
      </x:c>
      <x:c r="E27" s="3" t="str">
        <x:v>CORE-02, LC-05</x:v>
      </x:c>
      <x:c r="F27" s="3" t="str">
        <x:v>backend/src/modules/lifecycle/transfers/transfer.service.ts:139</x:v>
      </x:c>
      <x:c r="G27" s="3" t="str">
        <x:v>COUNT(current company employees)+1 ignores historical sequences and concurrent requests. Multiple pending transfers obtain the same target code; transfers out make counts smaller. Existing safe core.next_ecode is available.</x:v>
      </x:c>
      <x:c r="H27" s="3" t="str">
        <x:v>Allocate via the canonical locked company sequence within the approved transfer transaction; use an external-identity mapping and concurrent transfer tests.</x:v>
      </x:c>
      <x:c r="I27" s="3" t="str">
        <x:v>Source + specifications</x:v>
      </x:c>
    </x:row>
    <x:row r="28" ht="64" customHeight="1">
      <x:c r="A28" s="3" t="str">
        <x:v>R22</x:v>
      </x:c>
      <x:c r="B28" s="3" t="str">
        <x:v>open</x:v>
      </x:c>
      <x:c r="C28" s="3" t="str">
        <x:v>Future transfers mutate today and promotions do not change salary</x:v>
      </x:c>
      <x:c r="D28" s="3" t="str">
        <x:v>SOW-003, SOW-036, SOW-037, SOW-038, SOW-082, SOW-095, SOW-096, SOW-097, SOW-098, SOW-099, SOW-100, SOW-101, SOW-103, SOW-104, SOW-105, SOW-106, SOW-107, SOW-109, SOW-110, SOW-111, SOW-116</x:v>
      </x:c>
      <x:c r="E28" s="3" t="str">
        <x:v>LC-05, PAY-16, RPT-05</x:v>
      </x:c>
      <x:c r="F28" s="3" t="str">
        <x:v>backend/src/modules/lifecycle/transfers/transfer.service.ts:381</x:v>
      </x:c>
      <x:c r="G28" s="3" t="str">
        <x:v>Approving a future effective date immediately changes the employee master. Salary revision amount is only a history string; no pay.employee_salaries revision is created. Entity changes do not establish aligned OU/cost-center/company and financial continuity.</x:v>
      </x:c>
      <x:c r="H28" s="3" t="str">
        <x:v>Publish effective-dated placement/salary changes; activate projections on effective date with validated aligned links, historical scope snapshots and signed leave/entity payroll continuity.</x:v>
      </x:c>
      <x:c r="I28" s="3" t="str">
        <x:v>Source + specifications</x:v>
      </x:c>
    </x:row>
    <x:row r="29" ht="51" customHeight="1">
      <x:c r="A29" s="3" t="str">
        <x:v>R23</x:v>
      </x:c>
      <x:c r="B29" s="3" t="str">
        <x:v>open</x:v>
      </x:c>
      <x:c r="C29" s="3" t="str">
        <x:v>ESS loan application bypasses eligibility and approval</x:v>
      </x:c>
      <x:c r="D29" s="3" t="str">
        <x:v>SOW-027, SOW-028, SOW-029, SOW-030, SOW-118, SOW-119, SOW-120, SOW-121, SOW-122, SOW-124</x:v>
      </x:c>
      <x:c r="E29" s="3" t="str">
        <x:v>LN-01, LN-02</x:v>
      </x:c>
      <x:c r="F29" s="3" t="str">
        <x:v>backend/src/modules/loans/loans.router.ts:157</x:v>
      </x:c>
      <x:c r="G29" s="3" t="str">
        <x:v>Apply does not call checkEligibility or create an approval workflow; inserts active loans immediately. Missing salary eligibility substitutes50000 monthly gross, with hardcoded service/ratio/benchmark policy. Preview validation does not protect the mutation.</x:v>
      </x:c>
      <x:c r="H29" s="3" t="str">
        <x:v>Check authoritative effective eligibility under lock, require approved workflow/funding evidence and typed policy configuration; start as a request, not an active funded loan.</x:v>
      </x:c>
      <x:c r="I29" s="3" t="str">
        <x:v>Source + specifications</x:v>
      </x:c>
    </x:row>
    <x:row r="30" ht="64" customHeight="1">
      <x:c r="A30" s="3" t="str">
        <x:v>R24</x:v>
      </x:c>
      <x:c r="B30" s="3" t="str">
        <x:v>open</x:v>
      </x:c>
      <x:c r="C30" s="3" t="str">
        <x:v>Loan ledger is mutable and repeated deductions are not unique</x:v>
      </x:c>
      <x:c r="D30" s="3" t="str">
        <x:v>SOW-010, SOW-118, SOW-119, SOW-120, SOW-121, SOW-122, SOW-124</x:v>
      </x:c>
      <x:c r="E30" s="3" t="str">
        <x:v>LN-03, LN-04, NFR-04</x:v>
      </x:c>
      <x:c r="F30" s="3" t="str">
        <x:v>backend/src/modules/loans/loans.service.ts:304</x:v>
      </x:c>
      <x:c r="G30" s="3" t="str">
        <x:v>Actual loan_postings has no append-only trigger or unique source-consumption key. Retrying the same run/loan inserts another deduction. Balance recomputation uses original principal, not imported opening balance; claim advance settlement directly changes outstanding without a posting. Legacy source writes sap_legacy:reference, which violates the migration source CHECK.</x:v>
      </x:c>
      <x:c r="H30" s="3" t="str">
        <x:v>Use immutable funded/opening/recovery/settlement postings with once-only source keys and SUM-derived debt; reconcile legacy provenance in its own field and validate installment ownership.</x:v>
      </x:c>
      <x:c r="I30" s="3" t="str">
        <x:v>local-schema.json; service and claims.routePayout</x:v>
      </x:c>
    </x:row>
    <x:row r="31" ht="64" customHeight="1">
      <x:c r="A31" s="3" t="str">
        <x:v>R25</x:v>
      </x:c>
      <x:c r="B31" s="3" t="str">
        <x:v>open</x:v>
      </x:c>
      <x:c r="C31" s="3" t="str">
        <x:v>General claims cannot insert into the actual budget-owned model</x:v>
      </x:c>
      <x:c r="D31" s="3" t="str">
        <x:v>SOW-027, SOW-028, SOW-029, SOW-030, SOW-181, SOW-187, SOW-221, SOW-223, SOW-224, SOW-225, SOW-227, SOW-228, SOW-230</x:v>
      </x:c>
      <x:c r="E31" s="3" t="str">
        <x:v>CLM-02, CLM-04</x:v>
      </x:c>
      <x:c r="F31" s="3" t="str">
        <x:v>backend/src/modules/claims/claims.service.ts:142</x:v>
      </x:c>
      <x:c r="G31" s="3" t="str">
        <x:v>Submit omits funding_kind/budget_id. Actual funding_kind defaults budget and CHECK requires a budget, so a standalone claim fails. New payout_component_code defaults REIMB while local component catalog lacks REIMB. Existing claim_lines and new claim_bills need one explicit canonical receipt/financial-line contract.</x:v>
      </x:c>
      <x:c r="H31" s="3" t="str">
        <x:v>Preserve shared claims ownership; explicitly choose validated entitlement funding, required provenance and existing canonical lines/bills. Bind an approved seeded component and reconcile prior budget reservations.</x:v>
      </x:c>
      <x:c r="I31" s="3" t="str">
        <x:v>local-schema.json; behavior-probes.json; migration227</x:v>
      </x:c>
    </x:row>
    <x:row r="32" ht="64" customHeight="1">
      <x:c r="A32" s="3" t="str">
        <x:v>R26</x:v>
      </x:c>
      <x:c r="B32" s="3" t="str">
        <x:v>open</x:v>
      </x:c>
      <x:c r="C32" s="3" t="str">
        <x:v>Claim routing declares paid before funds or batch lines exist</x:v>
      </x:c>
      <x:c r="D32" s="3" t="str">
        <x:v>SOW-010, SOW-027, SOW-028, SOW-029, SOW-030, SOW-118, SOW-119, SOW-120, SOW-121, SOW-122, SOW-124, SOW-187</x:v>
      </x:c>
      <x:c r="E32" s="3" t="str">
        <x:v>CLM-04, CLM-07, LN-03</x:v>
      </x:c>
      <x:c r="F32" s="3" t="str">
        <x:v>backend/src/modules/claims/claims.service.ts:269</x:v>
      </x:c>
      <x:c r="G32" s="3" t="str">
        <x:v>Routing immediately marks paid when merely adding a payroll input; off-cycle routing only points at a batch and does not add its payable line or ensure employee/company/run ownership/state. AdvanceLoanId can offset another employee loan and directly changes debt. Actual upgraded claims has no XOR CHECK because CREATE IF NOT EXISTS skipped it.</x:v>
      </x:c>
      <x:c r="H32" s="3" t="str">
        <x:v>Create conserved settlement/obligation/consumption records, validate subject/payer and legal states, materialize frozen payroll/batch lines and mark paid only from payment receipt. Attach invariant CHECKs to the existing table.</x:v>
      </x:c>
      <x:c r="I32" s="3" t="str">
        <x:v>Source; local-schema.json claims constraints</x:v>
      </x:c>
    </x:row>
    <x:row r="33" ht="51" customHeight="1">
      <x:c r="A33" s="3" t="str">
        <x:v>R27</x:v>
      </x:c>
      <x:c r="B33" s="3" t="str">
        <x:v>open</x:v>
      </x:c>
      <x:c r="C33" s="3" t="str">
        <x:v>Entitlement policy is invented and the reservation check races</x:v>
      </x:c>
      <x:c r="D33" s="3" t="str">
        <x:v>SOW-027, SOW-028, SOW-029, SOW-030, SOW-181, SOW-187, SOW-221, SOW-223, SOW-224, SOW-225, SOW-227, SOW-228, SOW-230</x:v>
      </x:c>
      <x:c r="E33" s="3" t="str">
        <x:v>CLM-01, CLM-02</x:v>
      </x:c>
      <x:c r="F33" s="3" t="str">
        <x:v>backend/src/modules/claims/entitlement.service.ts:106</x:v>
      </x:c>
      <x:c r="G33" s="3" t="str">
        <x:v>Unconfigured claims receive guessed15000/5000/2000/50000/10000 limits. Availability is read before submit transaction without a locked reservation, so concurrent claims can both pass. Periods spanning bucket boundaries can evade contained-range totals.</x:v>
      </x:c>
      <x:c r="H33" s="3" t="str">
        <x:v>Use signed effective entitlement rows, exact bucket membership and locked immutable reservation/consumption; reject unconfigured entitlement and test concurrency/period edges.</x:v>
      </x:c>
      <x:c r="I33" s="3" t="str">
        <x:v>Source + specifications</x:v>
      </x:c>
    </x:row>
    <x:row r="34" ht="103" customHeight="1">
      <x:c r="A34" s="3" t="str">
        <x:v>R28</x:v>
      </x:c>
      <x:c r="B34" s="3" t="str">
        <x:v>open</x:v>
      </x:c>
      <x:c r="C34" s="3" t="str">
        <x:v>Year-end claim taxable recovery counts unrelated bills repeatedly</x:v>
      </x:c>
      <x:c r="D34" s="3" t="str">
        <x:v>SOW-003, SOW-027, SOW-028, SOW-029, SOW-030, SOW-072, SOW-073, SOW-074, SOW-075, SOW-076, SOW-077, SOW-081, SOW-095, SOW-096, SOW-097, SOW-098, SOW-099, SOW-100, SOW-101, SOW-118, SOW-119, SOW-120, SOW-121, SOW-122, SOW-123, SOW-124, SOW-145, SOW-146, SOW-147, SOW-181, SOW-184, SOW-185, SOW-187, SOW-221, SOW-223, SOW-224, SOW-225, SOW-227, SOW-228, SOW-230</x:v>
      </x:c>
      <x:c r="E34" s="3" t="str">
        <x:v>CLM-05, PAY-13</x:v>
      </x:c>
      <x:c r="F34" s="3" t="str">
        <x:v>backend/src/modules/claims/claims.service.ts:517</x:v>
      </x:c>
      <x:c r="G34" s="3" t="str">
        <x:v>Inside each taxable type, the query sums every unverified approved/paid bill for the employee without claim-type or FY filters; multiple taxable types duplicate the same sum and historic bills enter the current year. Unclaimed allowance treatment and final-run posting are not implemented.</x:v>
      </x:c>
      <x:c r="H34" s="3" t="str">
        <x:v>Query each approved taxable bucket/FY and verified line amount exactly once; distinguish unclaimed from unsubstantiated policy and post one idempotent final-FY tax adjustment.</x:v>
      </x:c>
      <x:c r="I34" s="3" t="str">
        <x:v>Source + specifications</x:v>
      </x:c>
    </x:row>
    <x:row r="35" ht="129" customHeight="1">
      <x:c r="A35" s="3" t="str">
        <x:v>R29</x:v>
      </x:c>
      <x:c r="B35" s="3" t="str">
        <x:v>open</x:v>
      </x:c>
      <x:c r="C35" s="3" t="str">
        <x:v>Parallel-run gate can pass with missing population or component errors</x:v>
      </x:c>
      <x:c r="D35" s="3" t="str">
        <x:v>SOW-003, SOW-027, SOW-028, SOW-029, SOW-030, SOW-068, SOW-072, SOW-073, SOW-074, SOW-075, SOW-076, SOW-077, SOW-081, SOW-095, SOW-096, SOW-097, SOW-098, SOW-099, SOW-100, SOW-101, SOW-103, SOW-104, SOW-105, SOW-106, SOW-107, SOW-109, SOW-110, SOW-111, SOW-113, SOW-114, SOW-115, SOW-116, SOW-118, SOW-119, SOW-120, SOW-121, SOW-122, SOW-123, SOW-124, SOW-145, SOW-146, SOW-147, SOW-181, SOW-184, SOW-185, SOW-187, SOW-221, SOW-223, SOW-224, SOW-225, SOW-227, SOW-228, SOW-230</x:v>
      </x:c>
      <x:c r="E35" s="3" t="str">
        <x:v>PAY-04, PAY-13, NFR-04</x:v>
      </x:c>
      <x:c r="F35" s="3" t="str">
        <x:v>backend/src/modules/payroll-core/parallel-run/variance-reporter.ts:318</x:v>
      </x:c>
      <x:c r="G35" s="3" t="str">
        <x:v>Gate ignores dataDiscrepancies and unsanctioned policy divergence; an empty HRMS run yields no unexplained bugs and passes. Iteration only covers HRMS population; components can differ while header totals match, yet exact_match is assigned. Comparisons/dispositions/two-cycle sign-offs are not durable.</x:v>
      </x:c>
      <x:c r="H35" s="3" t="str">
        <x:v>Compare the union of both employee/component populations, reject empty/mismatched inputs, and require approved tolerances, explained dispositions and persisted two-cycle human sign-offs.</x:v>
      </x:c>
      <x:c r="I35" s="3" t="str">
        <x:v>Source + specifications</x:v>
      </x:c>
    </x:row>
    <x:row r="36" ht="103" customHeight="1">
      <x:c r="A36" s="3" t="str">
        <x:v>R30</x:v>
      </x:c>
      <x:c r="B36" s="3" t="str">
        <x:v>open</x:v>
      </x:c>
      <x:c r="C36" s="3" t="str">
        <x:v>Opening YTD financial facts exist only in process memory</x:v>
      </x:c>
      <x:c r="D36" s="3" t="str">
        <x:v>SOW-003, SOW-004, SOW-005, SOW-010, SOW-027, SOW-028, SOW-029, SOW-030, SOW-072, SOW-073, SOW-074, SOW-075, SOW-076, SOW-077, SOW-081, SOW-095, SOW-096, SOW-097, SOW-098, SOW-099, SOW-100, SOW-101, SOW-118, SOW-119, SOW-120, SOW-121, SOW-122, SOW-123, SOW-124, SOW-128, SOW-145, SOW-146, SOW-147, SOW-181, SOW-184, SOW-185, SOW-187, SOW-221, SOW-223, SOW-224, SOW-225, SOW-227, SOW-228, SOW-230</x:v>
      </x:c>
      <x:c r="E36" s="3" t="str">
        <x:v>PAY-13, CORE-12</x:v>
      </x:c>
      <x:c r="F36" s="3" t="str">
        <x:v>backend/src/modules/payroll-core/parallel-run/ytd-loader.ts:47</x:v>
      </x:c>
      <x:c r="G36" s="3" t="str">
        <x:v>YTD import stores normalized payroll facts in a module Map; restart loses them and clustered API processes see different data. The real run does not consume this state for tax projection.</x:v>
      </x:c>
      <x:c r="H36" s="3" t="str">
        <x:v>Persist immutable reviewed imports/mappings/opening postings with source checksum, employee/FY validation and replay keys; feed the exact facts into payroll snapshots.</x:v>
      </x:c>
      <x:c r="I36" s="3" t="str">
        <x:v>Source + specifications</x:v>
      </x:c>
    </x:row>
    <x:row r="37" ht="51" customHeight="1">
      <x:c r="A37" s="3" t="str">
        <x:v>R31</x:v>
      </x:c>
      <x:c r="B37" s="3" t="str">
        <x:v>open</x:v>
      </x:c>
      <x:c r="C37" s="3" t="str">
        <x:v>Apply-increment reports success without salary revisions</x:v>
      </x:c>
      <x:c r="D37" s="3" t="str">
        <x:v>SOW-003, SOW-036, SOW-037, SOW-038, SOW-082, SOW-103, SOW-104, SOW-105, SOW-106, SOW-107, SOW-109, SOW-110, SOW-111, SOW-116</x:v>
      </x:c>
      <x:c r="E37" s="3" t="str">
        <x:v>PAY-16</x:v>
      </x:c>
      <x:c r="F37" s="3" t="str">
        <x:v>backend/src/modules/payroll-core/annual/annual.router.ts:237</x:v>
      </x:c>
      <x:c r="G37" s="3" t="str">
        <x:v>Apply uses client-supplied employee facts, inserts arrears with constant salary_id1, writes no salary revision, then reports employeesUpdatedCount. Repeated invocation duplicates arrears; foreign salary1 can satisfy a simple FK while belonging to someone else.</x:v>
      </x:c>
      <x:c r="H37" s="3" t="str">
        <x:v>Resolve approved employee salary facts server-side, atomically create real effective revisions and replay-safe recompute/delta obligations, and return actual persisted counts.</x:v>
      </x:c>
      <x:c r="I37" s="3" t="str">
        <x:v>Source + specifications</x:v>
      </x:c>
    </x:row>
    <x:row r="38" ht="77" customHeight="1">
      <x:c r="A38" s="3" t="str">
        <x:v>R32</x:v>
      </x:c>
      <x:c r="B38" s="3" t="str">
        <x:v>open</x:v>
      </x:c>
      <x:c r="C38" s="3" t="str">
        <x:v>Executive financial KPIs silently substitute estimates</x:v>
      </x:c>
      <x:c r="D38" s="3" t="str">
        <x:v>SOW-019, SOW-069</x:v>
      </x:c>
      <x:c r="E38" s="3" t="str">
        <x:v>RPT-03, RPT-04</x:v>
      </x:c>
      <x:c r="F38" s="3" t="str">
        <x:v>backend/src/modules/reports/kpi-snapshot.service.ts:313</x:v>
      </x:c>
      <x:c r="G38" s="3" t="str">
        <x:v>Missing payroll cost becomes CTC/headcount estimation; missing OT cost becomes an estimated hourly rate, sometimes100/hour. These values have no unavailable/estimate marker. OT hours use detected minutes, costs lack ER contributions, and burnout uses hardcoded OT/absence weights instead of the specified configurable composite. Historical requested-date metrics also use current master/status.</x:v>
      </x:c>
      <x:c r="H38" s="3" t="str">
        <x:v>Use approved versioned scoped snapshots from actual finalized financial/approved OT facts; preserve missing versus0, label any approved estimates and implement the signed KPI formulas/settings.</x:v>
      </x:c>
      <x:c r="I38" s="3" t="str">
        <x:v>docs06 §4; current source</x:v>
      </x:c>
    </x:row>
    <x:row r="39" ht="64" customHeight="1">
      <x:c r="A39" s="3" t="str">
        <x:v>R33</x:v>
      </x:c>
      <x:c r="B39" s="3" t="str">
        <x:v>open</x:v>
      </x:c>
      <x:c r="C39" s="3" t="str">
        <x:v>Output readiness and artifact ownership are inferred incorrectly</x:v>
      </x:c>
      <x:c r="D39" s="3" t="str">
        <x:v>SOW-003, SOW-027, SOW-028, SOW-029, SOW-030, SOW-065, SOW-072, SOW-073, SOW-074, SOW-075, SOW-076, SOW-077, SOW-081, SOW-095, SOW-096, SOW-097, SOW-098, SOW-099, SOW-100, SOW-101, SOW-181, SOW-182, SOW-187</x:v>
      </x:c>
      <x:c r="E39" s="3" t="str">
        <x:v>PAY-05, PAY-06</x:v>
      </x:c>
      <x:c r="F39" s="3" t="str">
        <x:v>backend/src/modules/payroll-outputs/outputs-bundle.service.ts:128</x:v>
      </x:c>
      <x:c r="G39" s="3" t="str">
        <x:v>Statutory outputs are called ready from run state while documentId/generatedAt are null. Payslip readiness needs only one archived slip and generatedAt is now; JV lookup uses month filename without run/company. Finalize itself does not generate these outputs.</x:v>
      </x:c>
      <x:c r="H39" s="3" t="str">
        <x:v>Persist versioned per-run/payer artifacts with checksum, complete population and actual generation receipts; expose availability from those records, not approval state.</x:v>
      </x:c>
      <x:c r="I39" s="3" t="str">
        <x:v>Source + specifications</x:v>
      </x:c>
    </x:row>
    <x:row r="40" ht="64" customHeight="1">
      <x:c r="A40" s="3" t="str">
        <x:v>R34</x:v>
      </x:c>
      <x:c r="B40" s="3" t="str">
        <x:v>open</x:v>
      </x:c>
      <x:c r="C40" s="3" t="str">
        <x:v>SAP mapping loses legal payer and cost-center dimensions</x:v>
      </x:c>
      <x:c r="D40" s="3" t="str">
        <x:v>SOW-003, SOW-053, SOW-065, SOW-069, SOW-072, SOW-073, SOW-074, SOW-075, SOW-076, SOW-077, SOW-081, SOW-095, SOW-096, SOW-097, SOW-098, SOW-099, SOW-100, SOW-101, SOW-139, SOW-143, SOW-182, SOW-214</x:v>
      </x:c>
      <x:c r="E40" s="3" t="str">
        <x:v>PAY-05, RPT-06</x:v>
      </x:c>
      <x:c r="F40" s="3" t="str">
        <x:v>backend/src/modules/payroll-outputs/gl/sap-jv.service.ts:90</x:v>
      </x:c>
      <x:c r="G40" s="3" t="str">
        <x:v>GL mappings across entities/plants/cost centers collapse into a component-only map, so last row wins for all companies. Unconfigured accounts fall back to guessed510xxx/210xxx literals and missing cost center becomes GEN; current DB dimensions are not honored.</x:v>
      </x:c>
      <x:c r="H40" s="3" t="str">
        <x:v>Use the approved scoped GL mapping keys from the canonical table, fail missing/ambiguous mappings and reconcile exact balanced amounts from frozen placement/result versions.</x:v>
      </x:c>
      <x:c r="I40" s="3" t="str">
        <x:v>Source + specifications</x:v>
      </x:c>
    </x:row>
    <x:row r="41" ht="77" customHeight="1">
      <x:c r="A41" s="3" t="str">
        <x:v>R35</x:v>
      </x:c>
      <x:c r="B41" s="3" t="str">
        <x:v>open</x:v>
      </x:c>
      <x:c r="C41" s="3" t="str">
        <x:v>Prejoin single-use and at-rest token claims are inaccurate</x:v>
      </x:c>
      <x:c r="D41" s="3" t="str">
        <x:v>SOW-009, SOW-010, SOW-022, SOW-025, SOW-031, SOW-127, SOW-129, SOW-132, SOW-133, SOW-134, SOW-182</x:v>
      </x:c>
      <x:c r="E41" s="3" t="str">
        <x:v>LC-01, NFR-03</x:v>
      </x:c>
      <x:c r="F41" s="3" t="str">
        <x:v>backend/src/modules/lifecycle/onboarding/onboarding.service.ts:117</x:v>
      </x:c>
      <x:c r="G41" s="3" t="str">
        <x:v>Raw bearer token is stored alongside its SHA256 hash. Submission validates before an unguarded update, permitting concurrent successful submissions and overwrites. Data is JSON.stringify-ed before storage in JSONB.
Correction: JSON.stringify alone does not prove JSONB double encoding; read-only bound-parameter probe returned object. Raw token persistence and single-use race remain valid.</x:v>
      </x:c>
      <x:c r="H41" s="3" t="str">
        <x:v>Store only a hashed expiring invitation token, lock/compare-and-swap atomic consumption, validate typed profile fields and store one consistent object representation; audit and mask statutory data.</x:v>
      </x:c>
      <x:c r="I41" s="3" t="str">
        <x:v>Source + specifications</x:v>
      </x:c>
    </x:row>
    <x:row r="42" ht="51" customHeight="1">
      <x:c r="A42" s="3" t="str">
        <x:v>R36</x:v>
      </x:c>
      <x:c r="B42" s="3" t="str">
        <x:v>open</x:v>
      </x:c>
      <x:c r="C42" s="3" t="str">
        <x:v>Biometric verification stamps evidence without checking Kent</x:v>
      </x:c>
      <x:c r="D42" s="3" t="str">
        <x:v>SOW-010, SOW-025, SOW-049, SOW-051, SOW-052, SOW-079, SOW-127, SOW-130, SOW-132, SOW-133, SOW-134</x:v>
      </x:c>
      <x:c r="E42" s="3" t="str">
        <x:v>LC-02, ATT-01</x:v>
      </x:c>
      <x:c r="F42" s="3" t="str">
        <x:v>backend/src/modules/lifecycle/onboarding/task-fanout.service.ts:191</x:v>
      </x:c>
      <x:c r="G42" s="3" t="str">
        <x:v>Method only flips biometric_registered and completes the task; it never invokes a connector or records source evidence, yet writes Verified against Kent feed. Task/probation reminder helper methods are not registered in the worker.</x:v>
      </x:c>
      <x:c r="H42" s="3" t="str">
        <x:v>Separate human-confirmed versus connector-confirmed evidence, retain actor/source receipt and wire approved scheduled reminder/escalation jobs; do not manufacture integration proof.</x:v>
      </x:c>
      <x:c r="I42" s="3" t="str">
        <x:v>Source + specifications</x:v>
      </x:c>
    </x:row>
    <x:row r="43" ht="64" customHeight="1">
      <x:c r="A43" s="3" t="str">
        <x:v>R37</x:v>
      </x:c>
      <x:c r="B43" s="3" t="str">
        <x:v>open</x:v>
      </x:c>
      <x:c r="C43" s="3" t="str">
        <x:v>Completed-stage and UAT labels exceed verified behavior</x:v>
      </x:c>
      <x:c r="D43" s="3" t="str">
        <x:v>SOW-139, SOW-216</x:v>
      </x:c>
      <x:c r="E43" s="3" t="str">
        <x:v>NFR-04, CORE-11</x:v>
      </x:c>
      <x:c r="F43" s="3" t="str">
        <x:v>plans/phase-3-lifecycle-assets-executive.md:231</x:v>
      </x:c>
      <x:c r="G43" s="3" t="str">
        <x:v>Phase2 all six stages and Phase3 all five stages are marked completed; G3 says real disbursement/UAT/CEO acceptance/law verification. Current code lacks workflow/payment evidence and full verify is red. This review found no signed acceptance artifacts in docs/outputs; source presence and synthetic tests cannot establish those manual gates.</x:v>
      </x:c>
      <x:c r="H43" s="3" t="str">
        <x:v>Retain work credit but reopen failed acceptance items; attach dated signed evidence for any external/UAT/legal claim. Never infer proof from a checked box.</x:v>
      </x:c>
      <x:c r="I43" s="3" t="str">
        <x:v>Current trackers; verify/test results; source-path review. Absence of an artifact in this scope is not proof no off-repo human review occurred.</x:v>
      </x:c>
    </x:row>
    <x:row r="44" ht="103" customHeight="1">
      <x:c r="A44" s="3" t="str">
        <x:v>R38</x:v>
      </x:c>
      <x:c r="B44" s="3" t="str">
        <x:v>open</x:v>
      </x:c>
      <x:c r="C44" s="3" t="str">
        <x:v>Income-tax seed contradicts its cited reference and FY claim</x:v>
      </x:c>
      <x:c r="D44" s="3" t="str">
        <x:v>SOW-003, SOW-004, SOW-005, SOW-010, SOW-027, SOW-028, SOW-029, SOW-030, SOW-072, SOW-073, SOW-074, SOW-075, SOW-076, SOW-077, SOW-081, SOW-095, SOW-096, SOW-097, SOW-098, SOW-099, SOW-100, SOW-101, SOW-118, SOW-119, SOW-120, SOW-121, SOW-122, SOW-123, SOW-124, SOW-128, SOW-145, SOW-146, SOW-147, SOW-181, SOW-184, SOW-185, SOW-187, SOW-221, SOW-223, SOW-224, SOW-225, SOW-227, SOW-228, SOW-230</x:v>
      </x:c>
      <x:c r="E44" s="3" t="str">
        <x:v>PAY-13, CORE-12</x:v>
      </x:c>
      <x:c r="F44" s="3" t="str">
        <x:v>backend/migrations/1752220000000_pay-schema-init.ts:439</x:v>
      </x:c>
      <x:c r="G44" s="3" t="str">
        <x:v>The migration labels its IT seed FY2025-26/2026-27, but inserts only2025-26 rows with a300000 first band and700000 rebate threshold. Its cited doc10 specifies a400000 first band and1200000 rebate threshold. Separate helper constants do not reconcile this contradictory persisted configuration. This is a repository-consistency finding, not certification of current law.</x:v>
      </x:c>
      <x:c r="H44" s="3" t="str">
        <x:v>Resolve D01 with signed authoritative notification/FY evidence; keep one effective-dated statutory policy source shared by real payroll and previews, with independent goldens and explicit unsupported-FY failures.</x:v>
      </x:c>
      <x:c r="I44" s="3" t="str">
        <x:v>Migration seed versus docs10 §6 and §15</x:v>
      </x:c>
    </x:row>
    <x:row r="45" ht="103" customHeight="1">
      <x:c r="A45" s="3" t="str">
        <x:v>R39</x:v>
      </x:c>
      <x:c r="B45" s="3" t="str">
        <x:v>partial-repair-verified</x:v>
      </x:c>
      <x:c r="C45" s="3" t="str">
        <x:v>Salary assignment and payroll disagree on paise versus rupee units</x:v>
      </x:c>
      <x:c r="D45" s="3" t="str">
        <x:v>SOW-003, SOW-012, SOW-013, SOW-014, SOW-026, SOW-033, SOW-034, SOW-040, SOW-041, SOW-042, SOW-044, SOW-060, SOW-068, SOW-072, SOW-073, SOW-074, SOW-075, SOW-076, SOW-077, SOW-081, SOW-103, SOW-104, SOW-105, SOW-106, SOW-107, SOW-109, SOW-110, SOW-111, SOW-113, SOW-114, SOW-115, SOW-116, SOW-221, SOW-223, SOW-224, SOW-225, SOW-227, SOW-228, SOW-230</x:v>
      </x:c>
      <x:c r="E45" s="3" t="str">
        <x:v>PAY-02, PAY-04, PAY-15</x:v>
      </x:c>
      <x:c r="F45" s="3" t="str">
        <x:v>backend/src/modules/payroll-core/runs/run.service.ts:264</x:v>
      </x:c>
      <x:c r="G45" s="3" t="str">
        <x:v>assignSalary persists component_amounts as integer paise. The run multiplied each stored amount by 100, increasing salary by a factor of 100. F&amp;F independently repeats this conversion. Legacy fixtures use rupees, so a magnitude heuristic would silently conceal the contract mismatch.</x:v>
      </x:c>
      <x:c r="H45" s="3" t="str">
        <x:v>Use an explicit integer-paise salary snapshot boundary everywhere; inspect existing snapshots for import provenance without guessing their unit. Correct F&amp;F consumers and prove assignment-to-run and assignment-to-F&amp;F integration. Run boundary fixed with regression; remaining consumers and legacy-data provenance remain open.</x:v>
      </x:c>
      <x:c r="I45" s="3" t="str">
        <x:v>backend/tests/payroll-salary-snapshot.test.ts</x:v>
      </x:c>
    </x:row>
    <x:row r="46" ht="64" customHeight="1">
      <x:c r="A46" s="3" t="str">
        <x:v>R40</x:v>
      </x:c>
      <x:c r="B46" s="3" t="str">
        <x:v>open</x:v>
      </x:c>
      <x:c r="C46" s="3" t="str">
        <x:v>Salary preview and assignment ignore configured amount rules</x:v>
      </x:c>
      <x:c r="D46" s="3" t="str">
        <x:v>SOW-003, SOW-004, SOW-012, SOW-013, SOW-014, SOW-026, SOW-033, SOW-034, SOW-082, SOW-090, SOW-127, SOW-128, SOW-129, SOW-132, SOW-133, SOW-134</x:v>
      </x:c>
      <x:c r="E46" s="3" t="str">
        <x:v>PAY-01, PAY-02, PAY-07</x:v>
      </x:c>
      <x:c r="F46" s="3" t="str">
        <x:v>backend/src/modules/payroll-core/salaries/salary.service.ts:59</x:v>
      </x:c>
      <x:c r="G46" s="3" t="str">
        <x:v>SalaryComponentItem and the API accept amount_rule, but both node assemblers drop it. They pass no fixed amount for BASIC or the fixed allowances. Passing fixed ComponentFormulaNode amounts in unit tests bypasses these actual product paths, so those tests do not prove the configured structure can be previewed or assigned.</x:v>
      </x:c>
      <x:c r="H46" s="3" t="str">
        <x:v>Define and validate the documented amount_rule grammar and CTC anchors; use one assembler for preview and assignment. Reject missing rules rather than fabricate pay. Add real persisted-structure preview/assignment tests with explicit approved amounts.</x:v>
      </x:c>
      <x:c r="I46" s="3" t="str">
        <x:v>structure.service.ts assembleComponentNodes; salary.service.ts assignSalary; structure.router.ts accepts amount_rule</x:v>
      </x:c>
    </x:row>
    <x:row r="47" ht="51" customHeight="1">
      <x:c r="A47" s="3" t="str">
        <x:v>R41</x:v>
      </x:c>
      <x:c r="B47" s="3" t="str">
        <x:v>open</x:v>
      </x:c>
      <x:c r="C47" s="3" t="str">
        <x:v>Probation scales earnings after dependent contributions have already been computed</x:v>
      </x:c>
      <x:c r="D47" s="3" t="str">
        <x:v>SOW-003, SOW-004, SOW-012, SOW-013, SOW-014, SOW-026, SOW-033, SOW-034, SOW-082, SOW-090</x:v>
      </x:c>
      <x:c r="E47" s="3" t="str">
        <x:v>PAY-01, PAY-02</x:v>
      </x:c>
      <x:c r="F47" s="3" t="str">
        <x:v>backend/src/modules/payroll-core/structures/dag-evaluator.ts:290</x:v>
      </x:c>
      <x:c r="G47" s="3" t="str">
        <x:v>The resolver evaluates all component formulas first, then scales earning amounts for probation. PF and employer contributions computed from full BASIC are retained. The existing G6 fixture contains only earnings, so it cannot reveal stale contribution amounts.</x:v>
      </x:c>
      <x:c r="H47" s="3" t="str">
        <x:v>Apply approved probation scaling before evaluating dependent deduction/employer formulas and balancing CTC. Add a hand-computed fixture that includes BASIC, PF_EE and employer PF, with approved rounding and policy inputs.</x:v>
      </x:c>
      <x:c r="I47" s="3" t="str">
        <x:v>Source ordering in resolveSalaryStructure; existing G6 test omits deduction/employer nodes</x:v>
      </x:c>
    </x:row>
    <x:row r="48" ht="77" customHeight="1">
      <x:c r="A48" s="3" t="str">
        <x:v>R42</x:v>
      </x:c>
      <x:c r="B48" s="3" t="str">
        <x:v>open</x:v>
      </x:c>
      <x:c r="C48" s="3" t="str">
        <x:v>Configured PT slabs are accepted by the compute interface but never used</x:v>
      </x:c>
      <x:c r="D48" s="3" t="str">
        <x:v>SOW-003, SOW-068, SOW-072, SOW-073, SOW-074, SOW-075, SOW-076, SOW-077, SOW-081, SOW-103, SOW-104, SOW-105, SOW-106, SOW-107, SOW-109, SOW-110, SOW-111, SOW-113, SOW-114, SOW-115, SOW-116, SOW-170, SOW-171, SOW-172, SOW-173, SOW-174, SOW-175, SOW-176</x:v>
      </x:c>
      <x:c r="E48" s="3" t="str">
        <x:v>PAY-04, PAY-11</x:v>
      </x:c>
      <x:c r="F48" s="3" t="str">
        <x:v>backend/src/modules/payroll-core/engine/compute-engine.ts:72</x:v>
      </x:c>
      <x:c r="G48" s="3" t="str">
        <x:v>EmployeeComputeInput exposes ptSlabs, but computeEmployeePayroll never reads it and calls computePt with only gross and state. Effective-dated configured slabs cannot affect the result; an unsupported state silently yields zero.</x:v>
      </x:c>
      <x:c r="H48" s="3" t="str">
        <x:v>Pass authoritative effective-dated slab facts to the shared PT engine, reject missing applicable state policy, and test custom configured slabs through the run path. Do not infer current statutory rates from this defect review.</x:v>
      </x:c>
      <x:c r="I48" s="3" t="str">
        <x:v>Compute input declaration and computePt call; statutory/pt.ts uses built-in WB table only</x:v>
      </x:c>
    </x:row>
    <x:row r="49" ht="64" customHeight="1">
      <x:c r="A49" s="3" t="str">
        <x:v>R43</x:v>
      </x:c>
      <x:c r="B49" s="3" t="str">
        <x:v>partial-repair-verified</x:v>
      </x:c>
      <x:c r="C49" s="3" t="str">
        <x:v>Generated timestamp and numeric aliases nest Kysely ColumnType wrappers</x:v>
      </x:c>
      <x:c r="D49" s="3" t="str">
        <x:v>SOW-004, SOW-005, SOW-010, SOW-128</x:v>
      </x:c>
      <x:c r="E49" s="3" t="str">
        <x:v>CORE-12, NFR-04</x:v>
      </x:c>
      <x:c r="F49" s="3" t="str">
        <x:v>backend/src/core/db/types.ts:796</x:v>
      </x:c>
      <x:c r="G49" s="3" t="str">
        <x:v>154 fields used Generated&lt;Timestamp&gt; where Timestamp was already ColumnType. This causes selected values to retain a ColumnType wrapper and normal Date inserts to fail TypeScript. The restored budget types also nested Generated&lt;Numeric&gt;. A live payroll boundary regression exposed locked_at Date as an invalid insert even though PostgreSQL accepts it.</x:v>
      </x:c>
      <x:c r="H49" s="3" t="str">
        <x:v>Use one flattened ColumnType with optional insert for defaulted timestamps/numerics. Corrected timestamp and FX declarations; rerun typecheck and actual database flows. Continue nullability/domain compatibility audit separately from column-name equality.</x:v>
      </x:c>
      <x:c r="I49" s="3" t="str">
        <x:v>backend/src/core/db/types.ts
backend/src/core/db/types.pay-claims.ts
backend/tests/payroll-run-boundary.integration.test.ts</x:v>
      </x:c>
    </x:row>
    <x:row r="50" ht="77" customHeight="1">
      <x:c r="A50" s="3" t="str">
        <x:v>R44</x:v>
      </x:c>
      <x:c r="B50" s="3" t="str">
        <x:v>partial-repair-verified</x:v>
      </x:c>
      <x:c r="C50" s="3" t="str">
        <x:v>Parallel comparison drops repeated lines of the same component</x:v>
      </x:c>
      <x:c r="D50" s="3" t="str">
        <x:v>SOW-003, SOW-053, SOW-068, SOW-069, SOW-072, SOW-073, SOW-074, SOW-075, SOW-076, SOW-077, SOW-081, SOW-103, SOW-104, SOW-105, SOW-106, SOW-107, SOW-109, SOW-110, SOW-111, SOW-113, SOW-114, SOW-115, SOW-116, SOW-139, SOW-143, SOW-214</x:v>
      </x:c>
      <x:c r="E50" s="3" t="str">
        <x:v>PAY-04, RPT-06</x:v>
      </x:c>
      <x:c r="F50" s="3" t="str">
        <x:v>backend/src/modules/payroll-core/parallel-run/variance-reporter.ts:151</x:v>
      </x:c>
      <x:c r="G50" s="3" t="str">
        <x:v>A Map.set overwrote earlier lines for the same employee/component. The real engine emits separate base, adjustment and arrear rows with the same component code, so the comparison silently retained only the last amount. A ₹10,000 base + ₹2,500 adjustment − ₹500 reversal became −₹500 instead of ₹12,000.</x:v>
      </x:c>
      <x:c r="H50" s="3" t="str">
        <x:v>Sum all signed component facts in integer paise per employee/component. Corrected shared component aggregation is now used by the real comparison; durable complete-population two-cycle/sign-off gates remain open under R29.</x:v>
      </x:c>
      <x:c r="I50" s="3" t="str">
        <x:v>backend/tests/payroll-component-totals.test.ts
backend/src/modules/payroll-core/parallel-run/variance-reporter.ts</x:v>
      </x:c>
    </x:row>
    <x:row r="51" ht="77" customHeight="1">
      <x:c r="A51" s="3" t="str">
        <x:v>R45</x:v>
      </x:c>
      <x:c r="B51" s="3" t="str">
        <x:v>partial-repair-verified</x:v>
      </x:c>
      <x:c r="C51" s="3" t="str">
        <x:v>Numeric SOW citations in phase plans and backend comments do not identify the original requirements</x:v>
      </x:c>
      <x:c r="D51" s="3" t="str">
        <x:v>SOW-003, SOW-004, SOW-005, SOW-010, SOW-053, SOW-065, SOW-069, SOW-072, SOW-073, SOW-074, SOW-075, SOW-076, SOW-077, SOW-081, SOW-095, SOW-096, SOW-097, SOW-098, SOW-099, SOW-100, SOW-101, SOW-128, SOW-139, SOW-143, SOW-182, SOW-214</x:v>
      </x:c>
      <x:c r="E51" s="3" t="str">
        <x:v>CORE-12, NFR-04, PAY-05, RPT-06</x:v>
      </x:c>
      <x:c r="F51" s="3" t="str">
        <x:v>backend/src/modules/payroll-outputs/gl/sap-jv.service.ts:2</x:v>
      </x:c>
      <x:c r="G51" s="3" t="str">
        <x:v>The JV service cited SOW-176, but original spreadsheet row176 is PT inspection assistance. JV deliverables are in original rows75 and101. Contiguous phase-plan block ranges were assigned without preserving original row meanings. This is an observable hallucinated traceability pattern.</x:v>
      </x:c>
      <x:c r="H51" s="3" t="str">
        <x:v>Regenerate phase tables from the exact original crosswalk, preserve requirement IDs, and replace unverified numeric references in backend comments. Done for backend comments and Phase2/3 maps; source-doc section labels and remaining frontend annotations require separate context validation.</x:v>
      </x:c>
      <x:c r="I51" s="3" t="str">
        <x:v>traceability-comment-repairs.json
plans/phase-2-payroll-statutory.md
plans/phase-3-lifecycle-assets-executive.md</x:v>
      </x:c>
    </x:row>
    <x:row r="52" ht="77" customHeight="1">
      <x:c r="A52" s="3" t="str">
        <x:v>R46</x:v>
      </x:c>
      <x:c r="B52" s="3" t="str">
        <x:v>open</x:v>
      </x:c>
      <x:c r="C52" s="3" t="str">
        <x:v>Full integration results vary across repeated runs and HTTP error bodies are hidden by downstream casts</x:v>
      </x:c>
      <x:c r="D52" s="3" t="str">
        <x:v>SOW-009, SOW-213</x:v>
      </x:c>
      <x:c r="E52" s="3" t="str">
        <x:v>NFR-04, CORE-10</x:v>
      </x:c>
      <x:c r="F52" s="3" t="str">
        <x:v>backend/tests/audit-read.integration.test.ts:66</x:v>
      </x:c>
      <x:c r="G52" s="3" t="str">
        <x:v>The same Node24/local-test setup produced435 passing/6 failing tests, then an independent serialized run produced423 passing/13 failing/5 skipped. Extra failures include login, audit, asset, engagement and leave HTTP400 responses. Some tests cast error objects to arrays and fail later. A standalone100-request login probe succeeded100 times, so a specific production HTTP defect is not yet established.</x:v>
      </x:c>
      <x:c r="H52" s="3" t="str">
        <x:v>Capture sanitized typed HTTP error codes/messages at each failed request; resolve route/input/fixture/environment or framework causes, then prove stable serialized full runs. Do not hide failures with casts, skips, fallback records or reduced coverage thresholds.</x:v>
      </x:c>
      <x:c r="I52" s="3" t="str">
        <x:v>http-repeat-probe.json
verification-failures.json</x:v>
      </x:c>
    </x:row>
  </x:sheetData>
  <x:pageMargins left="0.7" right="0.7" top="0.75" bottom="0.75" header="0.3" footer="0.3"/>
  <x:tableParts count="1">
    <x:tablePart xmlns:r="http://schemas.openxmlformats.org/officeDocument/2006/relationships" r:id="Rb670a06c53934e9f"/>
  </x:tableParts>
</x:worksheet>
</file>