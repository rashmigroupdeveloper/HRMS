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7bc7b43de34842" /></Relationships>
</file>

<file path=xl/workbook.xml><?xml version="1.0" encoding="utf-8"?>
<x:workbook xmlns:x="http://schemas.openxmlformats.org/spreadsheetml/2006/main">
  <x:sheets>
    <x:sheet xmlns:r="http://schemas.openxmlformats.org/officeDocument/2006/relationships" name="Summary" sheetId="1" r:id="Rad2e84fe74d34ed4"/>
    <x:sheet xmlns:r="http://schemas.openxmlformats.org/officeDocument/2006/relationships" name="Checklist" sheetId="2" r:id="R3ba48ce041104eeb"/>
    <x:sheet xmlns:r="http://schemas.openxmlformats.org/officeDocument/2006/relationships" name="Source SOW" sheetId="3" r:id="R25fa9d7a25fe4d9f"/>
    <x:sheet xmlns:r="http://schemas.openxmlformats.org/officeDocument/2006/relationships" name="Code vs Plan" sheetId="4" r:id="R3b3f894002b94d8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dd mmm yyyy"/>
  </x:numFmts>
  <x:fonts count="5">
    <x:font>
      <x:sz val="11"/>
      <x:name val="Carlito"/>
    </x:font>
    <x:font>
      <x:sz val="10"/>
      <x:color rgb="FF302D28"/>
      <x:name val="Arial"/>
    </x:font>
    <x:font>
      <x:b/>
      <x:sz val="16"/>
      <x:color rgb="FF302D28"/>
      <x:name val="Arial"/>
    </x:font>
    <x:font>
      <x:b/>
      <x:sz val="10"/>
      <x:color rgb="FFFFFFFF"/>
      <x:name val="Arial"/>
    </x:font>
    <x:font>
      <x:b/>
      <x:sz val="10"/>
      <x:color rgb="FF302D28"/>
      <x:name val="Arial"/>
    </x:font>
  </x:fonts>
  <x:fills count="11">
    <x:fill>
      <x:patternFill patternType="none"/>
    </x:fill>
    <x:fill>
      <x:patternFill patternType="gray125"/>
    </x:fill>
    <x:fill>
      <x:patternFill patternType="solid">
        <x:fgColor rgb="FF302D28"/>
      </x:patternFill>
    </x:fill>
    <x:fill>
      <x:patternFill patternType="solid">
        <x:fgColor rgb="FFFFFFFF"/>
      </x:patternFill>
    </x:fill>
    <x:fill>
      <x:patternFill patternType="solid">
        <x:fgColor rgb="FFF5F2EC"/>
      </x:patternFill>
    </x:fill>
    <x:fill>
      <x:patternFill patternType="solid">
        <x:fgColor rgb="FF302D28"/>
      </x:patternFill>
    </x:fill>
    <x:fill>
      <x:patternFill patternType="solid">
        <x:fgColor rgb="FFF5F2EC"/>
      </x:patternFill>
    </x:fill>
    <x:fill>
      <x:patternFill patternType="solid">
        <x:fgColor rgb="FFFFFFFF"/>
      </x:patternFill>
    </x:fill>
    <x:fill>
      <x:patternFill patternType="solid">
        <x:fgColor rgb="FF302D28"/>
      </x:patternFill>
    </x:fill>
    <x:fill>
      <x:patternFill patternType="solid">
        <x:fgColor rgb="FFF5F2EC"/>
      </x:patternFill>
    </x:fill>
    <x:fill>
      <x:patternFill patternType="solid">
        <x:fgColor rgb="FFFFFFFF"/>
      </x:patternFill>
    </x:fill>
  </x:fills>
  <x:borders count="1">
    <x:border>
      <x:left/>
      <x:right/>
      <x:top/>
      <x:bottom/>
      <x:diagonal/>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0" borderId="0" xfId="0" applyNumberFormat="1" applyFont="1" applyFill="1" applyBorder="1" applyAlignment="1">
      <x:alignment horizontal="right" vertical="center"/>
    </x:xf>
    <x:xf numFmtId="0" fontId="4" fillId="0" borderId="0" xfId="0" applyNumberFormat="1" applyFont="1" applyFill="1" applyBorder="1" applyAlignment="1">
      <x:alignment horizontal="righ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1" fontId="1" fillId="0" borderId="0" xfId="0" applyNumberFormat="1" applyFont="1" applyFill="1" applyBorder="1" applyAlignment="1">
      <x:alignment horizontal="right" vertical="top" wrapText="1"/>
    </x:xf>
    <x:xf numFmtId="0" fontId="1" fillId="3" borderId="0" xfId="0" applyNumberFormat="1" applyFont="1" applyFill="1" applyBorder="1" applyAlignment="1">
      <x:alignment vertical="top" wrapText="1"/>
    </x:xf>
    <x:xf numFmtId="201" fontId="1" fillId="3" borderId="0" xfId="0" applyNumberFormat="1" applyFont="1" applyFill="1" applyBorder="1" applyAlignment="1">
      <x:alignment horizontal="right" vertical="top" wrapText="1"/>
    </x:xf>
    <x:xf numFmtId="202"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1" fontId="1" fillId="4" borderId="0" xfId="0" applyNumberFormat="1" applyFont="1" applyFill="1" applyBorder="1" applyAlignment="1">
      <x:alignment horizontal="right" vertical="top" wrapText="1"/>
    </x:xf>
    <x:xf numFmtId="202" fontId="1" fillId="4"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1"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0" borderId="0" xfId="0" applyNumberFormat="1" applyFont="1" applyFill="1" applyBorder="1"/>
    <x:xf numFmtId="0" fontId="3" fillId="8" borderId="0" xfId="0" applyNumberFormat="1" applyFont="1" applyFill="1" applyBorder="1" applyAlignment="1">
      <x:alignment horizontal="center" vertical="center" wrapText="1"/>
    </x:xf>
    <x:xf numFmtId="0" fontId="3" fillId="8" borderId="0" xfId="0" applyNumberFormat="1" applyFont="1" applyFill="1" applyBorder="1" applyAlignment="1">
      <x:alignment vertical="center" wrapText="1"/>
    </x:xf>
    <x:xf numFmtId="0" fontId="1" fillId="9" borderId="0" xfId="0" applyNumberFormat="1" applyFont="1" applyFill="1" applyBorder="1" applyAlignment="1">
      <x:alignment vertical="top" wrapText="1"/>
    </x:xf>
    <x:xf numFmtId="201" fontId="1" fillId="9" borderId="0" xfId="0" applyNumberFormat="1" applyFont="1" applyFill="1" applyBorder="1" applyAlignment="1">
      <x:alignment horizontal="right" vertical="top" wrapText="1"/>
    </x:xf>
    <x:xf numFmtId="202" fontId="1" fillId="9" borderId="0"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201" fontId="1" fillId="10" borderId="0" xfId="0" applyNumberFormat="1" applyFont="1" applyFill="1" applyBorder="1" applyAlignment="1">
      <x:alignment horizontal="right" vertical="top" wrapText="1"/>
    </x:xf>
    <x:xf numFmtId="202" fontId="1" fillId="10" borderId="0" xfId="0" applyNumberFormat="1" applyFont="1" applyFill="1" applyBorder="1" applyAlignment="1">
      <x:alignment vertical="top" wrapText="1"/>
    </x:xf>
  </x:cellXfs>
  <x:cellStyles count="1">
    <x:cellStyle name="Normal" xfId="0"/>
  </x:cellStyles>
  <x:dxfs count="10">
    <x:dxf>
      <x:font>
        <x:b/>
        <x:color rgb="FF315B2B"/>
      </x:font>
      <x:fill>
        <x:patternFill>
          <x:bgColor rgb="FFE6EFE3"/>
        </x:patternFill>
      </x:fill>
    </x:dxf>
    <x:dxf>
      <x:font>
        <x:color rgb="FF315B2B"/>
      </x:font>
      <x:fill>
        <x:patternFill>
          <x:bgColor rgb="FFE6EFE3"/>
        </x:patternFill>
      </x:fill>
    </x:dxf>
    <x:dxf>
      <x:font>
        <x:b/>
        <x:color rgb="FF785818"/>
      </x:font>
      <x:fill>
        <x:patternFill>
          <x:bgColor rgb="FFFFF1D0"/>
        </x:patternFill>
      </x:fill>
    </x:dxf>
    <x:dxf>
      <x:font>
        <x:color rgb="FF785818"/>
      </x:font>
      <x:fill>
        <x:patternFill>
          <x:bgColor rgb="FFFFF1D0"/>
        </x:patternFill>
      </x:fill>
    </x:dxf>
    <x:dxf>
      <x:font>
        <x:b/>
        <x:color rgb="FF8B392A"/>
      </x:font>
      <x:fill>
        <x:patternFill>
          <x:bgColor rgb="FFF7E4DE"/>
        </x:patternFill>
      </x:fill>
    </x:dxf>
    <x:dxf>
      <x:font>
        <x:color rgb="FF8B392A"/>
      </x:font>
      <x:fill>
        <x:patternFill>
          <x:bgColor rgb="FFF7E4DE"/>
        </x:patternFill>
      </x:fill>
    </x:dxf>
    <x:dxf>
      <x:font>
        <x:b/>
        <x:color rgb="FF5C554A"/>
      </x:font>
      <x:fill>
        <x:patternFill>
          <x:bgColor rgb="FFEEEAE2"/>
        </x:patternFill>
      </x:fill>
    </x:dxf>
    <x:dxf>
      <x:font>
        <x:color rgb="FF5C554A"/>
      </x:font>
      <x:fill>
        <x:patternFill>
          <x:bgColor rgb="FFEEEAE2"/>
        </x:patternFill>
      </x:fill>
    </x:dxf>
    <x:dxf>
      <x:font>
        <x:b/>
        <x:color rgb="FF5B456F"/>
      </x:font>
      <x:fill>
        <x:patternFill>
          <x:bgColor rgb="FFE9E3F0"/>
        </x:patternFill>
      </x:fill>
    </x:dxf>
    <x:dxf>
      <x:font>
        <x:color rgb="FF5B456F"/>
      </x:font>
      <x:fill>
        <x:patternFill>
          <x:bgColor rgb="FFE9E3F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6de7b963c3c47e4" /><Relationship Type="http://schemas.openxmlformats.org/officeDocument/2006/relationships/theme" Target="/xl/theme/theme1.xml" Id="R35737beaefab4698" /><Relationship Type="http://schemas.openxmlformats.org/officeDocument/2006/relationships/sharedStrings" Target="/xl/sharedStrings.xml" Id="R5b55a79f286347a3" /><Relationship Type="http://schemas.openxmlformats.org/officeDocument/2006/relationships/worksheet" Target="/xl/worksheets/sheet1.xml" Id="Rad2e84fe74d34ed4" /><Relationship Type="http://schemas.openxmlformats.org/officeDocument/2006/relationships/worksheet" Target="/xl/worksheets/sheet2.xml" Id="R3ba48ce041104eeb" /><Relationship Type="http://schemas.openxmlformats.org/officeDocument/2006/relationships/worksheet" Target="/xl/worksheets/sheet3.xml" Id="R25fa9d7a25fe4d9f" /><Relationship Type="http://schemas.openxmlformats.org/officeDocument/2006/relationships/worksheet" Target="/xl/worksheets/sheet4.xml" Id="R3b3f894002b94d84" /></Relationships>
</file>

<file path=xl/tables/table1.xml><?xml version="1.0" encoding="utf-8"?>
<x:table xmlns:x="http://schemas.openxmlformats.org/spreadsheetml/2006/main" id="3" name="SowChecklist" displayName="SowChecklist" ref="A5:P181" headerRowCount="1" totalsRowCount="0" totalsRowShown="0">
  <x:tableColumns count="16">
    <x:tableColumn id="1" name="SOW row"/>
    <x:tableColumn id="2" name="Module"/>
    <x:tableColumn id="3" name="Original SOW point"/>
    <x:tableColumn id="4" name="Current status"/>
    <x:tableColumn id="5" name="What is done"/>
    <x:tableColumn id="6" name="What remains / closure evidence"/>
    <x:tableColumn id="7" name="Requirement ID"/>
    <x:tableColumn id="8" name="Phase / stage"/>
    <x:tableColumn id="9" name="Repository evidence (relative to HRMS root)"/>
    <x:tableColumn id="10" name="Historical Protiviti"/>
    <x:tableColumn id="11" name="Historical RML"/>
    <x:tableColumn id="12" name="Original RML remarks"/>
    <x:tableColumn id="13" name="Original target date"/>
    <x:tableColumn id="14" name="Original Protiviti remarks"/>
    <x:tableColumn id="15" name="Code coverage verdict"/>
    <x:tableColumn id="16" name="Code versus plan reconciliation"/>
  </x:tableColumns>
  <x:tableStyleInfo name="TableStyleMedium2" showFirstColumn="0" showLastColumn="0" showRowStripes="1" showColumnStripes="0"/>
</x:table>
</file>

<file path=xl/tables/table2.xml><?xml version="1.0" encoding="utf-8"?>
<x:table xmlns:x="http://schemas.openxmlformats.org/spreadsheetml/2006/main" id="2" name="CodePlanReview" displayName="CodePlanReview" ref="A5:G14" headerRowCount="1" totalsRowCount="0" totalsRowShown="0">
  <x:tableColumns count="7">
    <x:tableColumn id="1" name="Requirement / SOW point"/>
    <x:tableColumn id="2" name="Finding"/>
    <x:tableColumn id="3" name="Plan position"/>
    <x:tableColumn id="4" name="Actual code coverage"/>
    <x:tableColumn id="5" name="Remaining / reconciliation action"/>
    <x:tableColumn id="6" name="Code evidence"/>
    <x:tableColumn id="7" name="Plan 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63a7ae6ba8649be" /></Relationships>
</file>

<file path=xl/worksheets/_rels/sheet4.xml.rels>&#65279;<?xml version="1.0" encoding="utf-8"?><Relationships xmlns="http://schemas.openxmlformats.org/package/2006/relationships"><Relationship Type="http://schemas.openxmlformats.org/officeDocument/2006/relationships/table" Target="/xl/tables/table2.xml" Id="R6b1f1529db4a4cbd" /></Relationships>
</file>

<file path=xl/worksheets/sheet1.xml><?xml version="1.0" encoding="utf-8"?>
<x:worksheet xmlns:x="http://schemas.openxmlformats.org/spreadsheetml/2006/main">
  <x:sheetPr>
    <x:tabColor rgb="FF302D28"/>
  </x:sheetPr>
  <x:sheetViews>
    <x:sheetView showGridLines="0" workbookViewId="0"/>
  </x:sheetViews>
  <x:sheetFormatPr defaultRowHeight="15"/>
  <x:cols>
    <x:col min="1" max="1" width="29" hidden="0" customWidth="1"/>
    <x:col min="2" max="2" width="15" hidden="0" customWidth="1"/>
    <x:col min="3" max="3" width="15" hidden="0" customWidth="1"/>
    <x:col min="4" max="4" width="15" hidden="0" customWidth="1"/>
    <x:col min="5" max="5" width="19" hidden="0" customWidth="1"/>
    <x:col min="6" max="6" width="18" hidden="0" customWidth="1"/>
    <x:col min="7" max="7" width="12" hidden="0" customWidth="1"/>
  </x:cols>
  <x:sheetData>
    <x:row r="1">
      <x:c r="A1" s="2"/>
      <x:c r="B1" s="2"/>
      <x:c r="C1" s="2"/>
      <x:c r="D1" s="2"/>
      <x:c r="E1" s="2"/>
      <x:c r="F1" s="2"/>
      <x:c r="G1" s="2"/>
    </x:row>
    <x:row r="2">
      <x:c r="A2" s="3" t="str">
        <x:v>SOW completion review</x:v>
      </x:c>
      <x:c r="B2" s="2"/>
      <x:c r="C2" s="2"/>
      <x:c r="D2" s="2"/>
      <x:c r="E2" s="2"/>
      <x:c r="F2" s="2"/>
      <x:c r="G2" s="2"/>
    </x:row>
    <x:row r="3">
      <x:c r="A3" s="2" t="str">
        <x:v>As of 09 Oct 2026. Current custom HRMS, with historical vendor scores retained.</x:v>
      </x:c>
      <x:c r="B3" s="2"/>
      <x:c r="C3" s="2"/>
      <x:c r="D3" s="2"/>
      <x:c r="E3" s="2"/>
      <x:c r="F3" s="2"/>
      <x:c r="G3" s="2"/>
    </x:row>
    <x:row r="4">
      <x:c r="A4" s="2"/>
      <x:c r="B4" s="2"/>
      <x:c r="C4" s="2"/>
      <x:c r="D4" s="2"/>
      <x:c r="E4" s="2"/>
      <x:c r="F4" s="2"/>
      <x:c r="G4" s="2"/>
    </x:row>
    <x:row r="5" ht="32" customHeight="1">
      <x:c r="A5" s="7" t="str">
        <x:v>Current assessment</x:v>
      </x:c>
      <x:c r="B5" s="7" t="str">
        <x:v>Items</x:v>
      </x:c>
      <x:c r="C5" s="2"/>
      <x:c r="D5" s="2"/>
      <x:c r="E5" s="2"/>
      <x:c r="F5" s="2"/>
      <x:c r="G5" s="2"/>
    </x:row>
    <x:row r="6">
      <x:c r="A6" s="2" t="str">
        <x:v>Implemented</x:v>
      </x:c>
      <x:c r="B6" s="10" t="n">
        <x:f>COUNTIF(Checklist!$D$6:$D$181,"Implemented")</x:f>
        <x:v>12</x:v>
      </x:c>
      <x:c r="C6" s="2"/>
      <x:c r="D6" s="2"/>
      <x:c r="E6" s="2"/>
      <x:c r="F6" s="2"/>
      <x:c r="G6" s="2"/>
    </x:row>
    <x:row r="7">
      <x:c r="A7" s="2" t="str">
        <x:v>Partial</x:v>
      </x:c>
      <x:c r="B7" s="10" t="n">
        <x:f>COUNTIF(Checklist!$D$6:$D$181,"Partial")</x:f>
        <x:v>43</x:v>
      </x:c>
      <x:c r="C7" s="2"/>
      <x:c r="D7" s="2"/>
      <x:c r="E7" s="2"/>
      <x:c r="F7" s="2"/>
      <x:c r="G7" s="2"/>
    </x:row>
    <x:row r="8">
      <x:c r="A8" s="2" t="str">
        <x:v>Pending</x:v>
      </x:c>
      <x:c r="B8" s="10" t="n">
        <x:f>COUNTIF(Checklist!$D$6:$D$181,"Pending")</x:f>
        <x:v>86</x:v>
      </x:c>
      <x:c r="C8" s="2"/>
      <x:c r="D8" s="2"/>
      <x:c r="E8" s="2"/>
      <x:c r="F8" s="2"/>
      <x:c r="G8" s="2"/>
    </x:row>
    <x:row r="9">
      <x:c r="A9" s="2" t="str">
        <x:v>Manual / service</x:v>
      </x:c>
      <x:c r="B9" s="10" t="n">
        <x:f>COUNTIF(Checklist!$D$6:$D$181,"Manual / service")</x:f>
        <x:v>29</x:v>
      </x:c>
      <x:c r="C9" s="2"/>
      <x:c r="D9" s="2"/>
      <x:c r="E9" s="2"/>
      <x:c r="F9" s="2"/>
      <x:c r="G9" s="2"/>
    </x:row>
    <x:row r="10">
      <x:c r="A10" s="2" t="str">
        <x:v>Scope decision</x:v>
      </x:c>
      <x:c r="B10" s="10" t="n">
        <x:f>COUNTIF(Checklist!$D$6:$D$181,"Scope decision")</x:f>
        <x:v>6</x:v>
      </x:c>
      <x:c r="C10" s="2"/>
      <x:c r="D10" s="2"/>
      <x:c r="E10" s="2"/>
      <x:c r="F10" s="2"/>
      <x:c r="G10" s="2"/>
    </x:row>
    <x:row r="11">
      <x:c r="A11" s="8" t="str">
        <x:v>Total SOW items</x:v>
      </x:c>
      <x:c r="B11" s="11" t="n">
        <x:f>SUM(B6:B10)</x:f>
        <x:v>176</x:v>
      </x:c>
      <x:c r="C11" s="2"/>
      <x:c r="D11" s="2"/>
      <x:c r="E11" s="2"/>
      <x:c r="F11" s="2"/>
      <x:c r="G11" s="2"/>
    </x:row>
    <x:row r="12">
      <x:c r="A12" s="2"/>
      <x:c r="B12" s="2"/>
      <x:c r="C12" s="2"/>
      <x:c r="D12" s="2"/>
      <x:c r="E12" s="2"/>
      <x:c r="F12" s="2"/>
      <x:c r="G12" s="2"/>
    </x:row>
    <x:row r="13">
      <x:c r="A13" s="2"/>
      <x:c r="B13" s="2"/>
      <x:c r="C13" s="2"/>
      <x:c r="D13" s="2"/>
      <x:c r="E13" s="2"/>
      <x:c r="F13" s="2"/>
      <x:c r="G13" s="2"/>
    </x:row>
    <x:row r="14" ht="32" customHeight="1">
      <x:c r="A14" s="7" t="str">
        <x:v>Module</x:v>
      </x:c>
      <x:c r="B14" s="7" t="str">
        <x:v>Implemented</x:v>
      </x:c>
      <x:c r="C14" s="7" t="str">
        <x:v>Partial</x:v>
      </x:c>
      <x:c r="D14" s="7" t="str">
        <x:v>Pending</x:v>
      </x:c>
      <x:c r="E14" s="7" t="str">
        <x:v>Manual / service</x:v>
      </x:c>
      <x:c r="F14" s="7" t="str">
        <x:v>Scope decision</x:v>
      </x:c>
      <x:c r="G14" s="7" t="str">
        <x:v>Total</x:v>
      </x:c>
    </x:row>
    <x:row r="15" ht="27" customHeight="1">
      <x:c r="A15" s="2" t="str">
        <x:v>One-time setup</x:v>
      </x:c>
      <x:c r="B15" s="10" t="n">
        <x:f>COUNTIFS(Checklist!$B$6:$B$181,$A15,Checklist!$D$6:$D$181,"Implemented")</x:f>
        <x:v>0</x:v>
      </x:c>
      <x:c r="C15" s="10" t="n">
        <x:f>COUNTIFS(Checklist!$B$6:$B$181,$A15,Checklist!$D$6:$D$181,"Partial")</x:f>
        <x:v>3</x:v>
      </x:c>
      <x:c r="D15" s="10" t="n">
        <x:f>COUNTIFS(Checklist!$B$6:$B$181,$A15,Checklist!$D$6:$D$181,"Pending")</x:f>
        <x:v>0</x:v>
      </x:c>
      <x:c r="E15" s="10" t="n">
        <x:f>COUNTIFS(Checklist!$B$6:$B$181,$A15,Checklist!$D$6:$D$181,"Manual / service")</x:f>
        <x:v>0</x:v>
      </x:c>
      <x:c r="F15" s="10" t="n">
        <x:f>COUNTIFS(Checklist!$B$6:$B$181,$A15,Checklist!$D$6:$D$181,"Scope decision")</x:f>
        <x:v>0</x:v>
      </x:c>
      <x:c r="G15" s="10" t="n">
        <x:f>SUM(B15:F15)</x:f>
        <x:v>3</x:v>
      </x:c>
    </x:row>
    <x:row r="16" ht="27" customHeight="1">
      <x:c r="A16" s="2" t="str">
        <x:v>Core HR</x:v>
      </x:c>
      <x:c r="B16" s="10" t="n">
        <x:f>COUNTIFS(Checklist!$B$6:$B$181,$A16,Checklist!$D$6:$D$181,"Implemented")</x:f>
        <x:v>0</x:v>
      </x:c>
      <x:c r="C16" s="10" t="n">
        <x:f>COUNTIFS(Checklist!$B$6:$B$181,$A16,Checklist!$D$6:$D$181,"Partial")</x:f>
        <x:v>7</x:v>
      </x:c>
      <x:c r="D16" s="10" t="n">
        <x:f>COUNTIFS(Checklist!$B$6:$B$181,$A16,Checklist!$D$6:$D$181,"Pending")</x:f>
        <x:v>3</x:v>
      </x:c>
      <x:c r="E16" s="10" t="n">
        <x:f>COUNTIFS(Checklist!$B$6:$B$181,$A16,Checklist!$D$6:$D$181,"Manual / service")</x:f>
        <x:v>0</x:v>
      </x:c>
      <x:c r="F16" s="10" t="n">
        <x:f>COUNTIFS(Checklist!$B$6:$B$181,$A16,Checklist!$D$6:$D$181,"Scope decision")</x:f>
        <x:v>0</x:v>
      </x:c>
      <x:c r="G16" s="10" t="n">
        <x:f>SUM(B16:F16)</x:f>
        <x:v>10</x:v>
      </x:c>
    </x:row>
    <x:row r="17" ht="27" customHeight="1">
      <x:c r="A17" s="2" t="str">
        <x:v>Workforce</x:v>
      </x:c>
      <x:c r="B17" s="10" t="n">
        <x:f>COUNTIFS(Checklist!$B$6:$B$181,$A17,Checklist!$D$6:$D$181,"Implemented")</x:f>
        <x:v>1</x:v>
      </x:c>
      <x:c r="C17" s="10" t="n">
        <x:f>COUNTIFS(Checklist!$B$6:$B$181,$A17,Checklist!$D$6:$D$181,"Partial")</x:f>
        <x:v>1</x:v>
      </x:c>
      <x:c r="D17" s="10" t="n">
        <x:f>COUNTIFS(Checklist!$B$6:$B$181,$A17,Checklist!$D$6:$D$181,"Pending")</x:f>
        <x:v>16</x:v>
      </x:c>
      <x:c r="E17" s="10" t="n">
        <x:f>COUNTIFS(Checklist!$B$6:$B$181,$A17,Checklist!$D$6:$D$181,"Manual / service")</x:f>
        <x:v>0</x:v>
      </x:c>
      <x:c r="F17" s="10" t="n">
        <x:f>COUNTIFS(Checklist!$B$6:$B$181,$A17,Checklist!$D$6:$D$181,"Scope decision")</x:f>
        <x:v>0</x:v>
      </x:c>
      <x:c r="G17" s="10" t="n">
        <x:f>SUM(B17:F17)</x:f>
        <x:v>18</x:v>
      </x:c>
    </x:row>
    <x:row r="18" ht="27" customHeight="1">
      <x:c r="A18" s="2" t="str">
        <x:v>Leave &amp; attendance</x:v>
      </x:c>
      <x:c r="B18" s="10" t="n">
        <x:f>COUNTIFS(Checklist!$B$6:$B$181,$A18,Checklist!$D$6:$D$181,"Implemented")</x:f>
        <x:v>5</x:v>
      </x:c>
      <x:c r="C18" s="10" t="n">
        <x:f>COUNTIFS(Checklist!$B$6:$B$181,$A18,Checklist!$D$6:$D$181,"Partial")</x:f>
        <x:v>12</x:v>
      </x:c>
      <x:c r="D18" s="10" t="n">
        <x:f>COUNTIFS(Checklist!$B$6:$B$181,$A18,Checklist!$D$6:$D$181,"Pending")</x:f>
        <x:v>2</x:v>
      </x:c>
      <x:c r="E18" s="10" t="n">
        <x:f>COUNTIFS(Checklist!$B$6:$B$181,$A18,Checklist!$D$6:$D$181,"Manual / service")</x:f>
        <x:v>0</x:v>
      </x:c>
      <x:c r="F18" s="10" t="n">
        <x:f>COUNTIFS(Checklist!$B$6:$B$181,$A18,Checklist!$D$6:$D$181,"Scope decision")</x:f>
        <x:v>0</x:v>
      </x:c>
      <x:c r="G18" s="10" t="n">
        <x:f>SUM(B18:F18)</x:f>
        <x:v>19</x:v>
      </x:c>
    </x:row>
    <x:row r="19" ht="27" customHeight="1">
      <x:c r="A19" s="2" t="str">
        <x:v>Payroll &amp; compliance</x:v>
      </x:c>
      <x:c r="B19" s="10" t="n">
        <x:f>COUNTIFS(Checklist!$B$6:$B$181,$A19,Checklist!$D$6:$D$181,"Implemented")</x:f>
        <x:v>1</x:v>
      </x:c>
      <x:c r="C19" s="10" t="n">
        <x:f>COUNTIFS(Checklist!$B$6:$B$181,$A19,Checklist!$D$6:$D$181,"Partial")</x:f>
        <x:v>8</x:v>
      </x:c>
      <x:c r="D19" s="10" t="n">
        <x:f>COUNTIFS(Checklist!$B$6:$B$181,$A19,Checklist!$D$6:$D$181,"Pending")</x:f>
        <x:v>57</x:v>
      </x:c>
      <x:c r="E19" s="10" t="n">
        <x:f>COUNTIFS(Checklist!$B$6:$B$181,$A19,Checklist!$D$6:$D$181,"Manual / service")</x:f>
        <x:v>27</x:v>
      </x:c>
      <x:c r="F19" s="10" t="n">
        <x:f>COUNTIFS(Checklist!$B$6:$B$181,$A19,Checklist!$D$6:$D$181,"Scope decision")</x:f>
        <x:v>4</x:v>
      </x:c>
      <x:c r="G19" s="10" t="n">
        <x:f>SUM(B19:F19)</x:f>
        <x:v>97</x:v>
      </x:c>
    </x:row>
    <x:row r="20" ht="27" customHeight="1">
      <x:c r="A20" s="2" t="str">
        <x:v>Salary reimbursements</x:v>
      </x:c>
      <x:c r="B20" s="10" t="n">
        <x:f>COUNTIFS(Checklist!$B$6:$B$181,$A20,Checklist!$D$6:$D$181,"Implemented")</x:f>
        <x:v>0</x:v>
      </x:c>
      <x:c r="C20" s="10" t="n">
        <x:f>COUNTIFS(Checklist!$B$6:$B$181,$A20,Checklist!$D$6:$D$181,"Partial")</x:f>
        <x:v>0</x:v>
      </x:c>
      <x:c r="D20" s="10" t="n">
        <x:f>COUNTIFS(Checklist!$B$6:$B$181,$A20,Checklist!$D$6:$D$181,"Pending")</x:f>
        <x:v>1</x:v>
      </x:c>
      <x:c r="E20" s="10" t="n">
        <x:f>COUNTIFS(Checklist!$B$6:$B$181,$A20,Checklist!$D$6:$D$181,"Manual / service")</x:f>
        <x:v>0</x:v>
      </x:c>
      <x:c r="F20" s="10" t="n">
        <x:f>COUNTIFS(Checklist!$B$6:$B$181,$A20,Checklist!$D$6:$D$181,"Scope decision")</x:f>
        <x:v>0</x:v>
      </x:c>
      <x:c r="G20" s="10" t="n">
        <x:f>SUM(B20:F20)</x:f>
        <x:v>1</x:v>
      </x:c>
    </x:row>
    <x:row r="21" ht="27" customHeight="1">
      <x:c r="A21" s="2" t="str">
        <x:v>Engagement</x:v>
      </x:c>
      <x:c r="B21" s="10" t="n">
        <x:f>COUNTIFS(Checklist!$B$6:$B$181,$A21,Checklist!$D$6:$D$181,"Implemented")</x:f>
        <x:v>0</x:v>
      </x:c>
      <x:c r="C21" s="10" t="n">
        <x:f>COUNTIFS(Checklist!$B$6:$B$181,$A21,Checklist!$D$6:$D$181,"Partial")</x:f>
        <x:v>3</x:v>
      </x:c>
      <x:c r="D21" s="10" t="n">
        <x:f>COUNTIFS(Checklist!$B$6:$B$181,$A21,Checklist!$D$6:$D$181,"Pending")</x:f>
        <x:v>0</x:v>
      </x:c>
      <x:c r="E21" s="10" t="n">
        <x:f>COUNTIFS(Checklist!$B$6:$B$181,$A21,Checklist!$D$6:$D$181,"Manual / service")</x:f>
        <x:v>0</x:v>
      </x:c>
      <x:c r="F21" s="10" t="n">
        <x:f>COUNTIFS(Checklist!$B$6:$B$181,$A21,Checklist!$D$6:$D$181,"Scope decision")</x:f>
        <x:v>1</x:v>
      </x:c>
      <x:c r="G21" s="10" t="n">
        <x:f>SUM(B21:F21)</x:f>
        <x:v>4</x:v>
      </x:c>
    </x:row>
    <x:row r="22" ht="27" customHeight="1">
      <x:c r="A22" s="2" t="str">
        <x:v>Assets</x:v>
      </x:c>
      <x:c r="B22" s="10" t="n">
        <x:f>COUNTIFS(Checklist!$B$6:$B$181,$A22,Checklist!$D$6:$D$181,"Implemented")</x:f>
        <x:v>3</x:v>
      </x:c>
      <x:c r="C22" s="10" t="n">
        <x:f>COUNTIFS(Checklist!$B$6:$B$181,$A22,Checklist!$D$6:$D$181,"Partial")</x:f>
        <x:v>4</x:v>
      </x:c>
      <x:c r="D22" s="10" t="n">
        <x:f>COUNTIFS(Checklist!$B$6:$B$181,$A22,Checklist!$D$6:$D$181,"Pending")</x:f>
        <x:v>0</x:v>
      </x:c>
      <x:c r="E22" s="10" t="n">
        <x:f>COUNTIFS(Checklist!$B$6:$B$181,$A22,Checklist!$D$6:$D$181,"Manual / service")</x:f>
        <x:v>0</x:v>
      </x:c>
      <x:c r="F22" s="10" t="n">
        <x:f>COUNTIFS(Checklist!$B$6:$B$181,$A22,Checklist!$D$6:$D$181,"Scope decision")</x:f>
        <x:v>0</x:v>
      </x:c>
      <x:c r="G22" s="10" t="n">
        <x:f>SUM(B22:F22)</x:f>
        <x:v>7</x:v>
      </x:c>
    </x:row>
    <x:row r="23" ht="27" customHeight="1">
      <x:c r="A23" s="2" t="str">
        <x:v>Helpdesk</x:v>
      </x:c>
      <x:c r="B23" s="10" t="n">
        <x:f>COUNTIFS(Checklist!$B$6:$B$181,$A23,Checklist!$D$6:$D$181,"Implemented")</x:f>
        <x:v>2</x:v>
      </x:c>
      <x:c r="C23" s="10" t="n">
        <x:f>COUNTIFS(Checklist!$B$6:$B$181,$A23,Checklist!$D$6:$D$181,"Partial")</x:f>
        <x:v>5</x:v>
      </x:c>
      <x:c r="D23" s="10" t="n">
        <x:f>COUNTIFS(Checklist!$B$6:$B$181,$A23,Checklist!$D$6:$D$181,"Pending")</x:f>
        <x:v>0</x:v>
      </x:c>
      <x:c r="E23" s="10" t="n">
        <x:f>COUNTIFS(Checklist!$B$6:$B$181,$A23,Checklist!$D$6:$D$181,"Manual / service")</x:f>
        <x:v>1</x:v>
      </x:c>
      <x:c r="F23" s="10" t="n">
        <x:f>COUNTIFS(Checklist!$B$6:$B$181,$A23,Checklist!$D$6:$D$181,"Scope decision")</x:f>
        <x:v>0</x:v>
      </x:c>
      <x:c r="G23" s="10" t="n">
        <x:f>SUM(B23:F23)</x:f>
        <x:v>8</x:v>
      </x:c>
    </x:row>
    <x:row r="24" ht="27" customHeight="1">
      <x:c r="A24" s="2" t="str">
        <x:v>Final settlement</x:v>
      </x:c>
      <x:c r="B24" s="10" t="n">
        <x:f>COUNTIFS(Checklist!$B$6:$B$181,$A24,Checklist!$D$6:$D$181,"Implemented")</x:f>
        <x:v>0</x:v>
      </x:c>
      <x:c r="C24" s="10" t="n">
        <x:f>COUNTIFS(Checklist!$B$6:$B$181,$A24,Checklist!$D$6:$D$181,"Partial")</x:f>
        <x:v>0</x:v>
      </x:c>
      <x:c r="D24" s="10" t="n">
        <x:f>COUNTIFS(Checklist!$B$6:$B$181,$A24,Checklist!$D$6:$D$181,"Pending")</x:f>
        <x:v>7</x:v>
      </x:c>
      <x:c r="E24" s="10" t="n">
        <x:f>COUNTIFS(Checklist!$B$6:$B$181,$A24,Checklist!$D$6:$D$181,"Manual / service")</x:f>
        <x:v>1</x:v>
      </x:c>
      <x:c r="F24" s="10" t="n">
        <x:f>COUNTIFS(Checklist!$B$6:$B$181,$A24,Checklist!$D$6:$D$181,"Scope decision")</x:f>
        <x:v>1</x:v>
      </x:c>
      <x:c r="G24" s="10" t="n">
        <x:f>SUM(B24:F24)</x:f>
        <x:v>9</x:v>
      </x:c>
    </x:row>
    <x:row r="25" ht="27" customHeight="1">
      <x:c r="A25" s="8" t="str">
        <x:v>Total</x:v>
      </x:c>
      <x:c r="B25" s="11" t="n">
        <x:f>SUM(B15:B24)</x:f>
        <x:v>12</x:v>
      </x:c>
      <x:c r="C25" s="11" t="n">
        <x:f>SUM(C15:C24)</x:f>
        <x:v>43</x:v>
      </x:c>
      <x:c r="D25" s="11" t="n">
        <x:f>SUM(D15:D24)</x:f>
        <x:v>86</x:v>
      </x:c>
      <x:c r="E25" s="11" t="n">
        <x:f>SUM(E15:E24)</x:f>
        <x:v>29</x:v>
      </x:c>
      <x:c r="F25" s="11" t="n">
        <x:f>SUM(F15:F24)</x:f>
        <x:v>6</x:v>
      </x:c>
      <x:c r="G25" s="11" t="n">
        <x:f>SUM(G15:G24)</x:f>
        <x:v>176</x:v>
      </x:c>
    </x:row>
    <x:row r="26">
      <x:c r="A26" s="2"/>
      <x:c r="B26" s="2"/>
      <x:c r="C26" s="2"/>
      <x:c r="D26" s="2"/>
      <x:c r="E26" s="2"/>
      <x:c r="F26" s="2"/>
      <x:c r="G26" s="2"/>
    </x:row>
    <x:row r="27">
      <x:c r="A27" s="8" t="str">
        <x:v>How to read the statuses</x:v>
      </x:c>
      <x:c r="B27" s="2"/>
      <x:c r="C27" s="2"/>
      <x:c r="D27" s="2"/>
      <x:c r="E27" s="2"/>
      <x:c r="F27" s="2"/>
      <x:c r="G27" s="2"/>
    </x:row>
    <x:row r="28" ht="21" customHeight="1">
      <x:c r="A28" s="2" t="str">
        <x:v>Implemented: this capability exists in reviewed code. UAT, production data and go-live are still required.</x:v>
      </x:c>
      <x:c r="B28" s="2"/>
      <x:c r="C28" s="2"/>
      <x:c r="D28" s="2"/>
      <x:c r="E28" s="2"/>
      <x:c r="F28" s="2"/>
      <x:c r="G28" s="2"/>
    </x:row>
    <x:row r="29" ht="21" customHeight="1">
      <x:c r="A29" s="2" t="str">
        <x:v>Partial: part of the exact SOW point exists; a specific missing behavior or verification is listed.</x:v>
      </x:c>
      <x:c r="B29" s="2"/>
      <x:c r="C29" s="2"/>
      <x:c r="D29" s="2"/>
      <x:c r="E29" s="2"/>
      <x:c r="F29" s="2"/>
      <x:c r="G29" s="2"/>
    </x:row>
    <x:row r="30" ht="21" customHeight="1">
      <x:c r="A30" s="2" t="str">
        <x:v>Pending: the main business capability is absent. UI shells, schemas and generic workflows do not complete it.</x:v>
      </x:c>
      <x:c r="B30" s="2"/>
      <x:c r="C30" s="2"/>
      <x:c r="D30" s="2"/>
      <x:c r="E30" s="2"/>
      <x:c r="F30" s="2"/>
      <x:c r="G30" s="2"/>
    </x:row>
    <x:row r="31" ht="21" customHeight="1">
      <x:c r="A31" s="2" t="str">
        <x:v>Manual / service: human portal, filing or vendor duties. Current completion evidence was not available.</x:v>
      </x:c>
      <x:c r="B31" s="2"/>
      <x:c r="C31" s="2"/>
      <x:c r="D31" s="2"/>
      <x:c r="E31" s="2"/>
      <x:c r="F31" s="2"/>
      <x:c r="G31" s="2"/>
    </x:row>
    <x:row r="32" ht="21" customHeight="1">
      <x:c r="A32" s="2" t="str">
        <x:v>Scope decision: an exclusion or ambiguity needs an agreed decision. These are not counted as implemented.</x:v>
      </x:c>
      <x:c r="B32" s="2"/>
      <x:c r="C32" s="2"/>
      <x:c r="D32" s="2"/>
      <x:c r="E32" s="2"/>
      <x:c r="F32" s="2"/>
      <x:c r="G32" s="2"/>
    </x:row>
    <x:row r="33" ht="21" customHeight="1">
      <x:c r="A33" s="2" t="str">
        <x:v>Reviewed source, migrations, existing tests and plans. Both backend and frontend TypeScript checks passed.</x:v>
      </x:c>
      <x:c r="B33" s="2"/>
      <x:c r="C33" s="2"/>
      <x:c r="D33" s="2"/>
      <x:c r="E33" s="2"/>
      <x:c r="F33" s="2"/>
      <x:c r="G33" s="2"/>
    </x:row>
    <x:row r="34" ht="21" customHeight="1">
      <x:c r="A34" s="2" t="str">
        <x:v>Full verify, DB integration tests and live UAT were not run. Tests can mutate the shared live DB.</x:v>
      </x:c>
      <x:c r="B34" s="2"/>
      <x:c r="C34" s="2"/>
      <x:c r="D34" s="2"/>
      <x:c r="E34" s="2"/>
      <x:c r="F34" s="2"/>
      <x:c r="G34" s="2"/>
    </x:row>
    <x:row r="35" ht="21" customHeight="1">
      <x:c r="A35" s="2" t="str">
        <x:v>No production payroll, statutory filing or vendor-service completion is certified by this review.</x:v>
      </x:c>
      <x:c r="B35" s="2"/>
      <x:c r="C35" s="2"/>
      <x:c r="D35" s="2"/>
      <x:c r="E35" s="2"/>
      <x:c r="F35" s="2"/>
      <x:c r="G35" s="2"/>
    </x:row>
    <x:row r="36" ht="21" customHeight="1">
      <x:c r="A36" s="2" t="str">
        <x:v>176 scored checklist rows were reconciled. Row 69 has no RML score; all 176 items are included.</x:v>
      </x:c>
      <x:c r="B36" s="2"/>
      <x:c r="C36" s="2"/>
      <x:c r="D36" s="2"/>
      <x:c r="E36" s="2"/>
      <x:c r="F36" s="2"/>
      <x:c r="G36" s="2"/>
    </x:row>
    <x:row r="37" ht="21" customHeight="1">
      <x:c r="A37" s="2" t="str">
        <x:v>Source SOW retains original A:G values and row numbers through row 230. The original file is unchanged.</x:v>
      </x:c>
      <x:c r="B37" s="2"/>
      <x:c r="C37" s="2"/>
      <x:c r="D37" s="2"/>
      <x:c r="E37" s="2"/>
      <x:c r="F37" s="2"/>
      <x:c r="G37" s="2"/>
    </x:row>
    <x:row r="38">
      <x:c r="A38" s="2"/>
      <x:c r="B38" s="2"/>
      <x:c r="C38" s="2"/>
      <x:c r="D38" s="2"/>
      <x:c r="E38" s="2"/>
      <x:c r="F38" s="2"/>
      <x:c r="G38" s="2"/>
    </x:row>
    <x:row r="39" ht="32" customHeight="1">
      <x:c r="A39" s="7" t="str">
        <x:v>Historical source scores</x:v>
      </x:c>
      <x:c r="B39" s="7" t="str">
        <x:v>Score sum</x:v>
      </x:c>
      <x:c r="C39" s="7" t="str">
        <x:v>Scored rows</x:v>
      </x:c>
      <x:c r="D39" s="7" t="str">
        <x:v>Calculated rate</x:v>
      </x:c>
      <x:c r="E39" s="2"/>
      <x:c r="F39" s="2"/>
      <x:c r="G39" s="2"/>
    </x:row>
    <x:row r="40">
      <x:c r="A40" s="2" t="str">
        <x:v>Protiviti historical</x:v>
      </x:c>
      <x:c r="B40" s="2" t="n">
        <x:f>SUM(Checklist!J6:J181)</x:f>
        <x:v>163</x:v>
      </x:c>
      <x:c r="C40" s="2" t="n">
        <x:f>COUNT(Checklist!J6:J181)</x:f>
        <x:v>176</x:v>
      </x:c>
      <x:c r="D40" s="9" t="n">
        <x:f>B40/C40</x:f>
        <x:v>0.9261363636363636</x:v>
      </x:c>
      <x:c r="E40" s="2"/>
      <x:c r="F40" s="2"/>
      <x:c r="G40" s="2"/>
    </x:row>
    <x:row r="41">
      <x:c r="A41" s="2" t="str">
        <x:v>RML historical</x:v>
      </x:c>
      <x:c r="B41" s="2" t="n">
        <x:f>SUM(Checklist!K6:K181)</x:f>
        <x:v>163</x:v>
      </x:c>
      <x:c r="C41" s="2" t="n">
        <x:f>COUNT(Checklist!K6:K181)</x:f>
        <x:v>175</x:v>
      </x:c>
      <x:c r="D41" s="9" t="n">
        <x:f>B41/C41</x:f>
        <x:v>0.9314285714285714</x:v>
      </x:c>
      <x:c r="E41" s="2"/>
      <x:c r="F41" s="2"/>
      <x:c r="G41" s="2"/>
    </x:row>
    <x:row r="42">
      <x:c r="A42" s="2"/>
      <x:c r="B42" s="2"/>
      <x:c r="C42" s="2"/>
      <x:c r="D42" s="2"/>
      <x:c r="E42" s="2"/>
      <x:c r="F42" s="2"/>
      <x:c r="G42" s="2"/>
    </x:row>
    <x:row r="43">
      <x:c r="A43" s="2" t="str">
        <x:v>RML historical score: 163 / 175 = 93.14%. It is not the completion rate of the custom HRMS.</x:v>
      </x:c>
      <x:c r="B43" s="2"/>
      <x:c r="C43" s="2"/>
      <x:c r="D43" s="2"/>
      <x:c r="E43" s="2"/>
      <x:c r="F43" s="2"/>
      <x:c r="G43" s="2"/>
    </x:row>
    <x:row r="44">
      <x:c r="A44" s="2" t="str">
        <x:v>Source displayed 93.14% for Protiviti too; its 176 scored rows calculate to 92.61%.</x:v>
      </x:c>
      <x:c r="B44" s="2"/>
      <x:c r="C44" s="2"/>
      <x:c r="D44" s="2"/>
      <x:c r="E44" s="2"/>
      <x:c r="F44" s="2"/>
      <x:c r="G44" s="2"/>
    </x:row>
    <x:row r="45">
      <x:c r="A45" s="2" t="str">
        <x:v>No current completion percentage is assigned to partial, manual or scope-decision items.</x:v>
      </x:c>
      <x:c r="B45" s="2"/>
      <x:c r="C45" s="2"/>
      <x:c r="D45" s="2"/>
      <x:c r="E45" s="2"/>
      <x:c r="F45" s="2"/>
      <x:c r="G45" s="2"/>
    </x:row>
    <x:row r="46" ht="22" customHeight="1">
      <x:c r="A46" s="2" t="str">
        <x:v>Code reconciliation: 55 points have credited implementation (12 implemented + 43 partial); scaffolding is listed separately.</x:v>
      </x:c>
      <x:c r="B46" s="2"/>
      <x:c r="C46" s="2"/>
      <x:c r="D46" s="2"/>
      <x:c r="E46" s="2"/>
      <x:c r="F46" s="2"/>
      <x:c r="G46" s="2"/>
    </x:row>
    <x:row r="47" ht="22" customHeight="1">
      <x:c r="A47" s="1" t="str">
        <x:v>Code vs Plan: 9 reconciliation findings; settings note, BU item and route summary corrected. No gate advanced.</x:v>
      </x:c>
      <x:c r="B47" s="1"/>
      <x:c r="C47" s="1"/>
      <x:c r="D47" s="1"/>
      <x:c r="E47" s="1"/>
      <x:c r="F47" s="1"/>
      <x:c r="G47" s="1"/>
    </x:row>
    <x:row r="48" ht="22" customHeight="1">
      <x:c r="A48" s="1" t="str">
        <x:v>Static source review only. Existing tests are evidence of coverage, not a fresh successful integration/UAT run.</x:v>
      </x:c>
      <x:c r="B48" s="1"/>
      <x:c r="C48" s="1"/>
      <x:c r="D48" s="1"/>
      <x:c r="E48" s="1"/>
      <x:c r="F48" s="1"/>
      <x:c r="G48" s="1"/>
    </x:row>
  </x:sheetData>
  <x:conditionalFormatting sqref="A6:B10">
    <x:cfRule type="expression" dxfId="1" priority="1">
      <x:formula>$A6="Implemented"</x:formula>
    </x:cfRule>
    <x:cfRule type="expression" dxfId="3" priority="2">
      <x:formula>$A6="Partial"</x:formula>
    </x:cfRule>
    <x:cfRule type="expression" dxfId="5" priority="3">
      <x:formula>$A6="Pending"</x:formula>
    </x:cfRule>
    <x:cfRule type="expression" dxfId="7" priority="4">
      <x:formula>$A6="Manual / service"</x:formula>
    </x:cfRule>
    <x:cfRule type="expression" dxfId="9" priority="5">
      <x:formula>$A6="Scope decision"</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1" hidden="0" customWidth="1"/>
    <x:col min="2" max="2" width="24" hidden="0" customWidth="1"/>
    <x:col min="3" max="3" width="57" hidden="0" customWidth="1"/>
    <x:col min="4" max="4" width="20" hidden="0" customWidth="1"/>
    <x:col min="5" max="5" width="57" hidden="0" customWidth="1"/>
    <x:col min="6" max="6" width="69" hidden="0" customWidth="1"/>
    <x:col min="7" max="7" width="27" hidden="0" customWidth="1"/>
    <x:col min="8" max="8" width="25" hidden="0" customWidth="1"/>
    <x:col min="9" max="9" width="66" hidden="0" customWidth="1"/>
    <x:col min="10" max="10" width="13" hidden="0" customWidth="1"/>
    <x:col min="11" max="11" width="13" hidden="0" customWidth="1"/>
    <x:col min="12" max="12" width="52" hidden="0" customWidth="1"/>
    <x:col min="13" max="13" width="16" hidden="0" customWidth="1"/>
    <x:col min="14" max="14" width="38" hidden="0" customWidth="1"/>
    <x:col min="15" max="15" width="51" hidden="0" customWidth="1"/>
    <x:col min="16" max="16" width="62" hidden="0" customWidth="1"/>
  </x:cols>
  <x:sheetData>
    <x:row r="1">
      <x:c r="A1" s="2"/>
      <x:c r="B1" s="2"/>
      <x:c r="C1" s="2"/>
      <x:c r="D1" s="2"/>
      <x:c r="E1" s="2"/>
      <x:c r="F1" s="2"/>
      <x:c r="G1" s="2"/>
      <x:c r="H1" s="2"/>
      <x:c r="I1" s="2"/>
      <x:c r="J1" s="2"/>
      <x:c r="K1" s="2"/>
      <x:c r="L1" s="2"/>
      <x:c r="M1" s="2"/>
      <x:c r="N1" s="2"/>
    </x:row>
    <x:row r="2">
      <x:c r="A2" s="3" t="str">
        <x:v>Point-by-point SOW checklist</x:v>
      </x:c>
      <x:c r="B2" s="2"/>
      <x:c r="C2" s="2"/>
      <x:c r="D2" s="2"/>
      <x:c r="E2" s="2"/>
      <x:c r="F2" s="2"/>
      <x:c r="G2" s="2"/>
      <x:c r="H2" s="2"/>
      <x:c r="I2" s="2"/>
      <x:c r="J2" s="2"/>
      <x:c r="K2" s="2"/>
      <x:c r="L2" s="2"/>
      <x:c r="M2" s="2"/>
      <x:c r="N2" s="2"/>
    </x:row>
    <x:row r="3">
      <x:c r="A3" s="2" t="str">
        <x:v>Every point assessed from code. O/P show code verdict and plan reconciliation; Code vs Plan records the detailed discrepancies.</x:v>
      </x:c>
      <x:c r="B3" s="2"/>
      <x:c r="C3" s="2"/>
      <x:c r="D3" s="2"/>
      <x:c r="E3" s="2"/>
      <x:c r="F3" s="2"/>
      <x:c r="G3" s="2"/>
      <x:c r="H3" s="2"/>
      <x:c r="I3" s="2"/>
      <x:c r="J3" s="2"/>
      <x:c r="K3" s="2"/>
      <x:c r="L3" s="2"/>
      <x:c r="M3" s="2"/>
      <x:c r="N3" s="2"/>
    </x:row>
    <x:row r="4">
      <x:c r="A4" s="2"/>
      <x:c r="B4" s="2"/>
      <x:c r="C4" s="2"/>
      <x:c r="D4" s="2"/>
      <x:c r="E4" s="2"/>
      <x:c r="F4" s="2"/>
      <x:c r="G4" s="2"/>
      <x:c r="H4" s="2"/>
      <x:c r="I4" s="2"/>
      <x:c r="J4" s="2"/>
      <x:c r="K4" s="2"/>
      <x:c r="L4" s="2"/>
      <x:c r="M4" s="2"/>
      <x:c r="N4" s="2"/>
    </x:row>
    <x:row r="5" ht="32" customHeight="1">
      <x:c r="A5" s="35" t="str">
        <x:v>SOW row</x:v>
      </x:c>
      <x:c r="B5" s="35" t="str">
        <x:v>Module</x:v>
      </x:c>
      <x:c r="C5" s="35" t="str">
        <x:v>Original SOW point</x:v>
      </x:c>
      <x:c r="D5" s="35" t="str">
        <x:v>Current status</x:v>
      </x:c>
      <x:c r="E5" s="35" t="str">
        <x:v>What is done</x:v>
      </x:c>
      <x:c r="F5" s="35" t="str">
        <x:v>What remains / closure evidence</x:v>
      </x:c>
      <x:c r="G5" s="35" t="str">
        <x:v>Requirement ID</x:v>
      </x:c>
      <x:c r="H5" s="35" t="str">
        <x:v>Phase / stage</x:v>
      </x:c>
      <x:c r="I5" s="35" t="str">
        <x:v>Repository evidence (relative to HRMS root)</x:v>
      </x:c>
      <x:c r="J5" s="35" t="str">
        <x:v>Historical Protiviti</x:v>
      </x:c>
      <x:c r="K5" s="35" t="str">
        <x:v>Historical RML</x:v>
      </x:c>
      <x:c r="L5" s="35" t="str">
        <x:v>Original RML remarks</x:v>
      </x:c>
      <x:c r="M5" s="35" t="str">
        <x:v>Original target date</x:v>
      </x:c>
      <x:c r="N5" s="35" t="str">
        <x:v>Original Protiviti remarks</x:v>
      </x:c>
      <x:c r="O5" s="36" t="str">
        <x:v>Code coverage verdict</x:v>
      </x:c>
      <x:c r="P5" s="36" t="str">
        <x:v>Code versus plan reconciliation</x:v>
      </x:c>
    </x:row>
    <x:row r="6" ht="72" hidden="0" customHeight="1">
      <x:c r="A6" s="37" t="n">
        <x:v>3</x:v>
      </x:c>
      <x:c r="B6" s="37" t="str">
        <x:v>One-time setup</x:v>
      </x:c>
      <x:c r="C6" s="37" t="str">
        <x:v>perform changes on software as per client policies and requirements.</x:v>
      </x:c>
      <x:c r="D6" s="37" t="str">
        <x:v>Partial</x:v>
      </x:c>
      <x:c r="E6" s="37" t="str">
        <x:v>Typed settings, policy publication, attendance and leave rules exist.</x:v>
      </x:c>
      <x:c r="F6" s="37" t="str">
        <x:v>Complete payroll/lifecycle policy execution and signed policy settings. Broad SOW promise is not fully met.</x:v>
      </x:c>
      <x:c r="G6" s="37" t="str">
        <x:v>CORE-13, ATT-04/05, PAY-01..18</x:v>
      </x:c>
      <x:c r="H6" s="37" t="str">
        <x:v>0 / 1 / 2 / 3</x:v>
      </x:c>
      <x:c r="I6" s="37" t="str">
        <x:v>backend/src/modules/settings/settings.service.ts; plans/phase-0-foundations.md; plans/phase-2-payroll-statutory.md; backend/src/api/router.ts; frontend/src/pages/payroll/PayrollPage.tsx</x:v>
      </x:c>
      <x:c r="J6" s="38" t="n">
        <x:v>0.5</x:v>
      </x:c>
      <x:c r="K6" s="38" t="n">
        <x:v>0.5</x:v>
      </x:c>
      <x:c r="L6" s="37" t="str">
        <x:v>The required changes have not been fully implemented.</x:v>
      </x:c>
      <x:c r="M6" s="39"/>
      <x:c r="N6" s="37"/>
      <x:c r="O6" s="37" t="str">
        <x:v>Supporting implementation exists; exact SOW point incomplete</x:v>
      </x:c>
      <x:c r="P6" s="37" t="str">
        <x:v>Settings PUT/UI already exist; stale plan note corrected.</x:v>
      </x:c>
    </x:row>
    <x:row r="7" ht="72" hidden="0" customHeight="1">
      <x:c r="A7" s="40" t="n">
        <x:v>4</x:v>
      </x:c>
      <x:c r="B7" s="40" t="str">
        <x:v>One-time setup</x:v>
      </x:c>
      <x:c r="C7" s="40" t="str">
        <x:v>Setup of client, employees and compensation master</x:v>
      </x:c>
      <x:c r="D7" s="40" t="str">
        <x:v>Partial</x:v>
      </x:c>
      <x:c r="E7" s="40" t="str">
        <x:v>Company/org and employee masters plus import pipeline exist.</x:v>
      </x:c>
      <x:c r="F7" s="40" t="str">
        <x:v>Load/reconcile real employee sources and build compensation master. Historical setup completion is not current migration evidence.</x:v>
      </x:c>
      <x:c r="G7" s="40" t="str">
        <x:v>CORE-01/12, PAY-01</x:v>
      </x:c>
      <x:c r="H7" s="40" t="str">
        <x:v>0.5 / 2.1</x:v>
      </x:c>
      <x:c r="I7" s="40" t="str">
        <x:v>backend/src/modules/employees/import.service.ts; backend/src/modules/employees/import.schemas.ts; plans/phase-0-foundations.md; plans/phase-2-payroll-statutory.md; backend/src/api/router.ts; frontend/src/pages/payroll/PayrollPage.tsx</x:v>
      </x:c>
      <x:c r="J7" s="41" t="n">
        <x:v>1</x:v>
      </x:c>
      <x:c r="K7" s="41" t="n">
        <x:v>1</x:v>
      </x:c>
      <x:c r="L7" s="40"/>
      <x:c r="M7" s="42"/>
      <x:c r="N7" s="40"/>
      <x:c r="O7" s="40" t="str">
        <x:v>Supporting implementation exists; exact SOW point incomplete</x:v>
      </x:c>
      <x:c r="P7" s="40" t="str">
        <x:v>Code credited independently of plan checkboxes. See What is done, What remains and repository evidence.</x:v>
      </x:c>
    </x:row>
    <x:row r="8" ht="72" hidden="0" customHeight="1">
      <x:c r="A8" s="37" t="n">
        <x:v>5</x:v>
      </x:c>
      <x:c r="B8" s="37" t="str">
        <x:v>One-time setup</x:v>
      </x:c>
      <x:c r="C8" s="37" t="str">
        <x:v>Transfer of data for the previous months of the current financial year, the previous financial year any prior financial year before that as required in good faith.</x:v>
      </x:c>
      <x:c r="D8" s="37" t="str">
        <x:v>Partial</x:v>
      </x:c>
      <x:c r="E8" s="37" t="str">
        <x:v>EMS seed and greytHR enrichment functions exist, with sample fixtures.</x:v>
      </x:c>
      <x:c r="F8" s="37" t="str">
        <x:v>Import historical payroll/YTD, leave opening balances and agreed prior periods; reconcile against frozen real exports.</x:v>
      </x:c>
      <x:c r="G8" s="37" t="str">
        <x:v>CORE-12, NFR-08</x:v>
      </x:c>
      <x:c r="H8" s="37" t="str">
        <x:v>0.5 / 2.6</x:v>
      </x:c>
      <x:c r="I8" s="37" t="str">
        <x:v>backend/src/modules/employees/import.service.ts; backend/src/modules/employees/import.schemas.ts; plans/phase-0-foundations.md; plans/phase-2-payroll-statutory.md</x:v>
      </x:c>
      <x:c r="J8" s="38" t="n">
        <x:v>1</x:v>
      </x:c>
      <x:c r="K8" s="38" t="n">
        <x:v>1</x:v>
      </x:c>
      <x:c r="L8" s="37" t="str">
        <x:v>complete data transfer done from adrenalin</x:v>
      </x:c>
      <x:c r="M8" s="39"/>
      <x:c r="N8" s="37"/>
      <x:c r="O8" s="37" t="str">
        <x:v>Supporting implementation exists; exact SOW point incomplete</x:v>
      </x:c>
      <x:c r="P8" s="37" t="str">
        <x:v>Code credited independently of plan checkboxes. See What is done, What remains and repository evidence.</x:v>
      </x:c>
    </x:row>
    <x:row r="9" ht="72" hidden="0" customHeight="1">
      <x:c r="A9" s="40" t="n">
        <x:v>8</x:v>
      </x:c>
      <x:c r="B9" s="40" t="str">
        <x:v>Core HR</x:v>
      </x:c>
      <x:c r="C9" s="40" t="str">
        <x:v>Management of centralized repository for employee master data, including personal, employment,  and financial details.</x:v>
      </x:c>
      <x:c r="D9" s="40" t="str">
        <x:v>Partial</x:v>
      </x:c>
      <x:c r="E9" s="40" t="str">
        <x:v>Employee personal/employment/statutory/bank fields and masked profile reads exist.</x:v>
      </x:c>
      <x:c r="F9" s="40" t="str">
        <x:v>Finish validated master editing, financial/compensation data and real master reconciliation. Nullable and unvalidated statutory fields remain.</x:v>
      </x:c>
      <x:c r="G9" s="40" t="str">
        <x:v>CORE-01/07/08</x:v>
      </x:c>
      <x:c r="H9" s="40" t="str">
        <x:v>0.5 / 2.1</x:v>
      </x:c>
      <x:c r="I9" s="40" t="str">
        <x:v>backend/migrations/1751810000000_org-employees.ts; backend/src/modules/employees/employees.router.ts; backend/src/modules/employees/import.service.ts; backend/src/modules/employees/import.schemas.ts; plans/phase-0-foundations.md</x:v>
      </x:c>
      <x:c r="J9" s="41" t="n">
        <x:v>1</x:v>
      </x:c>
      <x:c r="K9" s="41" t="n">
        <x:v>1</x:v>
      </x:c>
      <x:c r="L9" s="40"/>
      <x:c r="M9" s="42"/>
      <x:c r="N9" s="40"/>
      <x:c r="O9" s="40" t="str">
        <x:v>Supporting implementation exists; exact SOW point incomplete</x:v>
      </x:c>
      <x:c r="P9" s="40" t="str">
        <x:v>Code credited independently of plan checkboxes. See What is done, What remains and repository evidence.</x:v>
      </x:c>
    </x:row>
    <x:row r="10" ht="72" hidden="0" customHeight="1">
      <x:c r="A10" s="37" t="n">
        <x:v>9</x:v>
      </x:c>
      <x:c r="B10" s="37" t="str">
        <x:v>Core HR</x:v>
      </x:c>
      <x:c r="C10" s="37" t="str">
        <x:v>Providing secure access controls based on roles and permissions</x:v>
      </x:c>
      <x:c r="D10" s="37" t="str">
        <x:v>Partial</x:v>
      </x:c>
      <x:c r="E10" s="37" t="str">
        <x:v>Central runtime RBAC, scoped employee reads and permission masking exist.</x:v>
      </x:c>
      <x:c r="F10" s="37" t="str">
        <x:v>Close business procedures using authed without a permission. Helpdesk thread/reply lacks ticket-owner/assignee authorization in inspected paths. Prove negative access tests.</x:v>
      </x:c>
      <x:c r="G10" s="37" t="str">
        <x:v>CORE-10, NFR-03</x:v>
      </x:c>
      <x:c r="H10" s="37" t="str">
        <x:v>0.4 / 3.4</x:v>
      </x:c>
      <x:c r="I10" s="37" t="str">
        <x:v>backend/src/api/orpc.ts; backend/src/modules/rbac/rbac.router.ts; backend/src/modules/helpdesk/helpdesk.router.ts; backend/src/modules/helpdesk/helpdesk.service.ts; backend/tests/helpdesk.integration.test.ts; frontend/src/pages/workplace/HelpdeskPage.tsx</x:v>
      </x:c>
      <x:c r="J10" s="38" t="n">
        <x:v>1</x:v>
      </x:c>
      <x:c r="K10" s="38" t="n">
        <x:v>1</x:v>
      </x:c>
      <x:c r="L10" s="37"/>
      <x:c r="M10" s="39"/>
      <x:c r="N10" s="37"/>
      <x:c r="O10" s="37" t="str">
        <x:v>Supporting implementation exists; exact SOW point incomplete</x:v>
      </x:c>
      <x:c r="P10" s="37" t="str">
        <x:v>Code credited independently of plan checkboxes. See What is done, What remains and repository evidence.</x:v>
      </x:c>
    </x:row>
    <x:row r="11" ht="85" hidden="0" customHeight="1">
      <x:c r="A11" s="40" t="n">
        <x:v>10</x:v>
      </x:c>
      <x:c r="B11" s="40" t="str">
        <x:v>Core HR</x:v>
      </x:c>
      <x:c r="C11" s="40" t="str">
        <x:v>Integration with other Systems, as necessary.</x:v>
      </x:c>
      <x:c r="D11" s="40" t="str">
        <x:v>Partial</x:v>
      </x:c>
      <x:c r="E11" s="40" t="str">
        <x:v>Import pipeline and Kent interface exist.</x:v>
      </x:c>
      <x:c r="F11" s="40" t="str">
        <x:v>Connect real Kent; complete ATS handoff/SSO and SAP loan/JV integrations. Mock Kent is selected at runtime.</x:v>
      </x:c>
      <x:c r="G11" s="40" t="str">
        <x:v>ATT-01/02, CORE-12, LN-03, LC-01</x:v>
      </x:c>
      <x:c r="H11" s="40" t="str">
        <x:v>0.1 / 1.1 / 2 / 3 / 4</x:v>
      </x:c>
      <x:c r="I11" s="40" t="str">
        <x:v>backend/src/modules/attendance/kent-sync.job.ts; backend/src/modules/employees/import.service.ts; backend/src/modules/employees/import.schemas.ts; plans/phase-0-foundations.md; plans/phase-2-payroll-statutory.md; backend/src/api/router.ts; frontend/src/pages/payroll/PayrollPage.tsx</x:v>
      </x:c>
      <x:c r="J11" s="41" t="n">
        <x:v>1</x:v>
      </x:c>
      <x:c r="K11" s="41" t="n">
        <x:v>1</x:v>
      </x:c>
      <x:c r="L11" s="40"/>
      <x:c r="M11" s="42"/>
      <x:c r="N11" s="40"/>
      <x:c r="O11" s="40" t="str">
        <x:v>Supporting implementation exists; exact SOW point incomplete</x:v>
      </x:c>
      <x:c r="P11" s="40" t="str">
        <x:v>Code credited independently of plan checkboxes. See What is done, What remains and repository evidence.</x:v>
      </x:c>
    </x:row>
    <x:row r="12" ht="72" hidden="0" customHeight="1">
      <x:c r="A12" s="37" t="n">
        <x:v>12</x:v>
      </x:c>
      <x:c r="B12" s="37" t="str">
        <x:v>Core HR</x:v>
      </x:c>
      <x:c r="C12" s="37" t="str">
        <x:v>Defining multiple pay structures based on grades, job levels, and locations.</x:v>
      </x:c>
      <x:c r="D12" s="37" t="str">
        <x:v>Pending</x:v>
      </x:c>
      <x:c r="E12" s="37" t="str">
        <x:v>Payroll UI shell and integer-paise utilities only.</x:v>
      </x:c>
      <x:c r="F12" s="37" t="str">
        <x:v>Build salary structures/components, grade/location assignments, CTC breakdown and applicable benefits/incentives/perquisites. No payroll business router exists.</x:v>
      </x:c>
      <x:c r="G12" s="37" t="str">
        <x:v>PAY-01/02</x:v>
      </x:c>
      <x:c r="H12" s="37" t="str">
        <x:v>2.1–2.4</x:v>
      </x:c>
      <x:c r="I12" s="37" t="str">
        <x:v>plans/phase-2-payroll-statutory.md; backend/src/api/router.ts; frontend/src/pages/payroll/PayrollPage.tsx</x:v>
      </x:c>
      <x:c r="J12" s="38" t="n">
        <x:v>1</x:v>
      </x:c>
      <x:c r="K12" s="38" t="n">
        <x:v>1</x:v>
      </x:c>
      <x:c r="L12" s="37"/>
      <x:c r="M12" s="39"/>
      <x:c r="N12" s="37"/>
      <x:c r="O12" s="37" t="str">
        <x:v>Main SOW business flow absent; any scaffolding is listed in What is done</x:v>
      </x:c>
      <x:c r="P12" s="37" t="str">
        <x:v>No additional completed business flow found beyond What is done. Plan/scaffolding alone does not establish completion.</x:v>
      </x:c>
    </x:row>
    <x:row r="13" ht="72" hidden="0" customHeight="1">
      <x:c r="A13" s="40" t="n">
        <x:v>13</x:v>
      </x:c>
      <x:c r="B13" s="40" t="str">
        <x:v>Core HR</x:v>
      </x:c>
      <x:c r="C13" s="40" t="str">
        <x:v>handling basic pay, allowances, deductions, reimbursements, and performance-linked incentives.</x:v>
      </x:c>
      <x:c r="D13" s="40" t="str">
        <x:v>Pending</x:v>
      </x:c>
      <x:c r="E13" s="40" t="str">
        <x:v>Payroll UI shell and integer-paise utilities only.</x:v>
      </x:c>
      <x:c r="F13" s="40" t="str">
        <x:v>Build salary structures/components, grade/location assignments, CTC breakdown and applicable benefits/incentives/perquisites. No payroll business router exists.</x:v>
      </x:c>
      <x:c r="G13" s="40" t="str">
        <x:v>PAY-01/02</x:v>
      </x:c>
      <x:c r="H13" s="40" t="str">
        <x:v>2.1–2.4</x:v>
      </x:c>
      <x:c r="I13" s="40" t="str">
        <x:v>plans/phase-2-payroll-statutory.md; backend/src/api/router.ts; frontend/src/pages/payroll/PayrollPage.tsx</x:v>
      </x:c>
      <x:c r="J13" s="41" t="n">
        <x:v>1</x:v>
      </x:c>
      <x:c r="K13" s="41" t="n">
        <x:v>1</x:v>
      </x:c>
      <x:c r="L13" s="40"/>
      <x:c r="M13" s="42"/>
      <x:c r="N13" s="40"/>
      <x:c r="O13" s="40" t="str">
        <x:v>Main SOW business flow absent; any scaffolding is listed in What is done</x:v>
      </x:c>
      <x:c r="P13" s="40" t="str">
        <x:v>No additional completed business flow found beyond What is done. Plan/scaffolding alone does not establish completion.</x:v>
      </x:c>
    </x:row>
    <x:row r="14" ht="72" hidden="0" customHeight="1">
      <x:c r="A14" s="37" t="n">
        <x:v>14</x:v>
      </x:c>
      <x:c r="B14" s="37" t="str">
        <x:v>Core HR</x:v>
      </x:c>
      <x:c r="C14" s="37" t="str">
        <x:v>customization for CTC breakup, flexi-benefits, and perquisites</x:v>
      </x:c>
      <x:c r="D14" s="37" t="str">
        <x:v>Pending</x:v>
      </x:c>
      <x:c r="E14" s="37" t="str">
        <x:v>Payroll UI shell and integer-paise utilities only.</x:v>
      </x:c>
      <x:c r="F14" s="37" t="str">
        <x:v>Build salary structures/components, grade/location assignments, CTC breakdown and applicable benefits/incentives/perquisites. No payroll business router exists.</x:v>
      </x:c>
      <x:c r="G14" s="37" t="str">
        <x:v>PAY-01/02</x:v>
      </x:c>
      <x:c r="H14" s="37" t="str">
        <x:v>2.1–2.4</x:v>
      </x:c>
      <x:c r="I14" s="37" t="str">
        <x:v>plans/phase-2-payroll-statutory.md; backend/src/api/router.ts; frontend/src/pages/payroll/PayrollPage.tsx</x:v>
      </x:c>
      <x:c r="J14" s="38" t="n">
        <x:v>1</x:v>
      </x:c>
      <x:c r="K14" s="38" t="n">
        <x:v>1</x:v>
      </x:c>
      <x:c r="L14" s="37"/>
      <x:c r="M14" s="39"/>
      <x:c r="N14" s="37"/>
      <x:c r="O14" s="37" t="str">
        <x:v>Main SOW business flow absent; any scaffolding is listed in What is done</x:v>
      </x:c>
      <x:c r="P14" s="37" t="str">
        <x:v>No additional completed business flow found beyond What is done. Plan/scaffolding alone does not establish completion.</x:v>
      </x:c>
    </x:row>
    <x:row r="15" ht="72" hidden="0" customHeight="1">
      <x:c r="A15" s="40" t="n">
        <x:v>16</x:v>
      </x:c>
      <x:c r="B15" s="40" t="str">
        <x:v>Core HR</x:v>
      </x:c>
      <x:c r="C15" s="40" t="str">
        <x:v>Platform automated policy updates on portal and employee communication</x:v>
      </x:c>
      <x:c r="D15" s="40" t="str">
        <x:v>Partial</x:v>
      </x:c>
      <x:c r="E15" s="40" t="str">
        <x:v>Policy publish, audience feed and acknowledgment exist.</x:v>
      </x:c>
      <x:c r="F15" s="40" t="str">
        <x:v>Wire real communication delivery; queue transport currently logs. Confirm publication audience receives updates.</x:v>
      </x:c>
      <x:c r="G15" s="40" t="str">
        <x:v>CORE-13, WF-02</x:v>
      </x:c>
      <x:c r="H15" s="40" t="str">
        <x:v>1.6</x:v>
      </x:c>
      <x:c r="I15" s="40" t="str">
        <x:v>backend/src/modules/policies/policies.service.ts; frontend/src/pages/policies/PoliciesPage.tsx; backend/src/modules/notifications/notifications.service.ts; backend/src/jobs/worker.ts</x:v>
      </x:c>
      <x:c r="J15" s="41" t="n">
        <x:v>1</x:v>
      </x:c>
      <x:c r="K15" s="41" t="n">
        <x:v>1</x:v>
      </x:c>
      <x:c r="L15" s="40" t="str">
        <x:v>policy adherence is active , as per ready RML policies</x:v>
      </x:c>
      <x:c r="M15" s="42"/>
      <x:c r="N15" s="40"/>
      <x:c r="O15" s="40" t="str">
        <x:v>Supporting implementation exists; exact SOW point incomplete</x:v>
      </x:c>
      <x:c r="P15" s="40" t="str">
        <x:v>Code credited independently of plan checkboxes. See What is done, What remains and repository evidence.</x:v>
      </x:c>
    </x:row>
    <x:row r="16" ht="72" hidden="0" customHeight="1">
      <x:c r="A16" s="37" t="n">
        <x:v>17</x:v>
      </x:c>
      <x:c r="B16" s="37" t="str">
        <x:v>Core HR</x:v>
      </x:c>
      <x:c r="C16" s="37" t="str">
        <x:v>Platform real-time tracking of policy adherence</x:v>
      </x:c>
      <x:c r="D16" s="37" t="str">
        <x:v>Partial</x:v>
      </x:c>
      <x:c r="E16" s="37" t="str">
        <x:v>Policy acknowledgment percentages and employee report exist.</x:v>
      </x:c>
      <x:c r="F16" s="37" t="str">
        <x:v>Acknowledgment proves reading, not general policy adherence. Agree and implement any additional compliance checks.</x:v>
      </x:c>
      <x:c r="G16" s="37" t="str">
        <x:v>CORE-13</x:v>
      </x:c>
      <x:c r="H16" s="37" t="str">
        <x:v>1.6 / scope review</x:v>
      </x:c>
      <x:c r="I16" s="37" t="str">
        <x:v>backend/src/modules/policies/policies.service.ts; docs/01-REQUIREMENTS-PRD.md</x:v>
      </x:c>
      <x:c r="J16" s="38" t="n">
        <x:v>1</x:v>
      </x:c>
      <x:c r="K16" s="38" t="n">
        <x:v>1</x:v>
      </x:c>
      <x:c r="L16" s="37"/>
      <x:c r="M16" s="39"/>
      <x:c r="N16" s="37"/>
      <x:c r="O16" s="37" t="str">
        <x:v>Supporting implementation exists; exact SOW point incomplete</x:v>
      </x:c>
      <x:c r="P16" s="37" t="str">
        <x:v>Code credited independently of plan checkboxes. See What is done, What remains and repository evidence.</x:v>
      </x:c>
    </x:row>
    <x:row r="17" ht="72" hidden="0" customHeight="1">
      <x:c r="A17" s="40" t="n">
        <x:v>18</x:v>
      </x:c>
      <x:c r="B17" s="40" t="str">
        <x:v>Core HR</x:v>
      </x:c>
      <x:c r="C17" s="40" t="str">
        <x:v>Real-Time Policy Acknowledgement Tracking and automated alerts for non-compliance .</x:v>
      </x:c>
      <x:c r="D17" s="40" t="str">
        <x:v>Partial</x:v>
      </x:c>
      <x:c r="E17" s="40" t="str">
        <x:v>Acknowledgment tracking, pending list and weekly reminder enqueue exist.</x:v>
      </x:c>
      <x:c r="F17" s="40" t="str">
        <x:v>Deliver reminders via real notification consumer/transport; verify acknowledgment report population and end-to-end alerts.</x:v>
      </x:c>
      <x:c r="G17" s="40" t="str">
        <x:v>CORE-13, WF-02</x:v>
      </x:c>
      <x:c r="H17" s="40" t="str">
        <x:v>1.6</x:v>
      </x:c>
      <x:c r="I17" s="40" t="str">
        <x:v>backend/src/modules/policies/policies.service.ts; backend/src/modules/notifications/notifications.service.ts; backend/src/jobs/worker.ts</x:v>
      </x:c>
      <x:c r="J17" s="41" t="n">
        <x:v>1</x:v>
      </x:c>
      <x:c r="K17" s="41" t="n">
        <x:v>1</x:v>
      </x:c>
      <x:c r="L17" s="40"/>
      <x:c r="M17" s="42"/>
      <x:c r="N17" s="40"/>
      <x:c r="O17" s="40" t="str">
        <x:v>Supporting implementation exists; exact SOW point incomplete</x:v>
      </x:c>
      <x:c r="P17" s="40" t="str">
        <x:v>Code credited independently of plan checkboxes. See What is done, What remains and repository evidence.</x:v>
      </x:c>
    </x:row>
    <x:row r="18" ht="72" hidden="0" customHeight="1">
      <x:c r="A18" s="37" t="n">
        <x:v>19</x:v>
      </x:c>
      <x:c r="B18" s="37" t="str">
        <x:v>Core HR</x:v>
      </x:c>
      <x:c r="C18" s="37" t="str">
        <x:v>Platform Dashboard for HR and management reporting.</x:v>
      </x:c>
      <x:c r="D18" s="37" t="str">
        <x:v>Partial</x:v>
      </x:c>
      <x:c r="E18" s="37" t="str">
        <x:v>HR/BU/CEO pages and KPI snapshot read/build exist.</x:v>
      </x:c>
      <x:c r="F18" s="37" t="str">
        <x:v>Complete cost/CTC/burnout KPIs, correct OT metric (detected minutes currently used, not approved) and attrition denominator (current headcount, not average). Finish drilldowns and accepted KPI fixtures. Enforce BU caller permission scope: handler currently forwards optional company/location filters without permissionAccess.</x:v>
      </x:c>
      <x:c r="G18" s="37" t="str">
        <x:v>RPT-03/04, CORE-13</x:v>
      </x:c>
      <x:c r="H18" s="37" t="str">
        <x:v>1.7 / 3.5</x:v>
      </x:c>
      <x:c r="I18" s="37" t="str">
        <x:v>backend/src/modules/reports/kpi-snapshot.service.ts; backend/src/modules/reports/dashboard.service.ts; backend/src/modules/reports/reports.router.ts:742; frontend/src/pages/home/BusinessUnitDashboard.tsx; plans/phase-3-lifecycle-assets-executive.md</x:v>
      </x:c>
      <x:c r="J18" s="38" t="n">
        <x:v>0</x:v>
      </x:c>
      <x:c r="K18" s="38" t="n">
        <x:v>0</x:v>
      </x:c>
      <x:c r="L18" s="37" t="str">
        <x:v>not ready </x:v>
      </x:c>
      <x:c r="M18" s="39" t="d">
        <x:v>2025-08-31T00:00:00.000Z</x:v>
      </x:c>
      <x:c r="N18" s="37"/>
      <x:c r="O18" s="37" t="str">
        <x:v>Supporting implementation exists; exact SOW point incomplete</x:v>
      </x:c>
      <x:c r="P18" s="37" t="str">
        <x:v>BU dashboard code found behind unchecked plan item; now partial. Caller scope/metrics/report gaps remain.</x:v>
      </x:c>
    </x:row>
    <x:row r="19" ht="72" hidden="0" customHeight="1">
      <x:c r="A19" s="40" t="n">
        <x:v>22</x:v>
      </x:c>
      <x:c r="B19" s="40" t="str">
        <x:v>Workforce</x:v>
      </x:c>
      <x:c r="C19" s="40" t="str">
        <x:v>Generation of offer letter and approvals.</x:v>
      </x:c>
      <x:c r="D19" s="40" t="str">
        <x:v>Pending</x:v>
      </x:c>
      <x:c r="E19" s="40" t="str">
        <x:v>Generic workflow spine and recruitment UI shell exist.</x:v>
      </x:c>
      <x:c r="F19" s="40" t="str">
        <x:v>Integrate ATS offers and exact LOI approvals, issue offer letters and expose tracked offer report. Standalone ATS is outside this repository review.</x:v>
      </x:c>
      <x:c r="G19" s="40" t="str">
        <x:v>WF-01, RPT-02, LC-01</x:v>
      </x:c>
      <x:c r="H19" s="40" t="str">
        <x:v>3.1 / 4</x:v>
      </x:c>
      <x:c r="I19" s="40" t="str">
        <x:v>frontend/src/pages/recruitment/RecruitmentPage.tsx; plans/phase-4-ats-absorption.md; plans/phase-3-lifecycle-assets-executive.md; backend/src/modules/lifecycle/lifecycle.router.ts; frontend/src/pages/lifecycle/LifecyclePage.tsx</x:v>
      </x:c>
      <x:c r="J19" s="41" t="n">
        <x:v>0.7</x:v>
      </x:c>
      <x:c r="K19" s="41" t="n">
        <x:v>0.7</x:v>
      </x:c>
      <x:c r="L19" s="40" t="str">
        <x:v>Once the ATS get implemented it will get solved</x:v>
      </x:c>
      <x:c r="M19" s="42"/>
      <x:c r="N19" s="40"/>
      <x:c r="O19" s="40" t="str">
        <x:v>Main SOW business flow absent; any scaffolding is listed in What is done</x:v>
      </x:c>
      <x:c r="P19" s="40" t="str">
        <x:v>No additional completed business flow found beyond What is done. Plan/scaffolding alone does not establish completion.</x:v>
      </x:c>
    </x:row>
    <x:row r="20" ht="72" hidden="0" customHeight="1">
      <x:c r="A20" s="37" t="n">
        <x:v>23</x:v>
      </x:c>
      <x:c r="B20" s="37" t="str">
        <x:v>Workforce</x:v>
      </x:c>
      <x:c r="C20" s="37" t="str">
        <x:v>Tracking appointment letters.</x:v>
      </x:c>
      <x:c r="D20" s="37" t="str">
        <x:v>Implemented</x:v>
      </x:c>
      <x:c r="E20" s="37" t="str">
        <x:v>Appointment template, signature workflow, employee archive and ESS letters page exist.</x:v>
      </x:c>
      <x:c r="F20" s="37" t="str">
        <x:v>HR template acceptance and UAT remain; production storage/delivery are cross-cutting prerequisites.</x:v>
      </x:c>
      <x:c r="G20" s="37" t="str">
        <x:v>CORE-09</x:v>
      </x:c>
      <x:c r="H20" s="37" t="str">
        <x:v>1.6</x:v>
      </x:c>
      <x:c r="I20" s="37" t="str">
        <x:v>backend/migrations/1751890000000_absence-letters-policies.ts; backend/src/modules/letters/letters.service.ts; frontend/src/pages/letters/MyLettersPage.tsx</x:v>
      </x:c>
      <x:c r="J20" s="38" t="n">
        <x:v>1</x:v>
      </x:c>
      <x:c r="K20" s="38" t="n">
        <x:v>1</x:v>
      </x:c>
      <x:c r="L20" s="37" t="str">
        <x:v>Letter is geting generated and is available on ESS portal</x:v>
      </x:c>
      <x:c r="M20" s="39"/>
      <x:c r="N20" s="37"/>
      <x:c r="O20" s="37" t="str">
        <x:v>Capability implemented in reviewed code; acceptance pending</x:v>
      </x:c>
      <x:c r="P20" s="37" t="str">
        <x:v>Code credited independently of plan checkboxes. See What is done, What remains and repository evidence.</x:v>
      </x:c>
    </x:row>
    <x:row r="21" ht="72" hidden="0" customHeight="1">
      <x:c r="A21" s="40" t="n">
        <x:v>25</x:v>
      </x:c>
      <x:c r="B21" s="40" t="str">
        <x:v>Workforce</x:v>
      </x:c>
      <x:c r="C21" s="40" t="str">
        <x:v>Updation of candidate information by capturing through personal email.</x:v>
      </x:c>
      <x:c r="D21" s="40" t="str">
        <x:v>Pending</x:v>
      </x:c>
      <x:c r="E21" s="40" t="str">
        <x:v>Onboarding page is a pending shell; boarding/exit report is a separate implemented slice.</x:v>
      </x:c>
      <x:c r="F21" s="40" t="str">
        <x:v>Build personal-email prejoin link, candidate form, delivery/resend tracking and conversion.</x:v>
      </x:c>
      <x:c r="G21" s="40" t="str">
        <x:v>LC-01/02</x:v>
      </x:c>
      <x:c r="H21" s="40" t="str">
        <x:v>3.1</x:v>
      </x:c>
      <x:c r="I21" s="40" t="str">
        <x:v>plans/phase-3-lifecycle-assets-executive.md; backend/src/modules/lifecycle/lifecycle.router.ts; frontend/src/pages/lifecycle/LifecyclePage.tsx</x:v>
      </x:c>
      <x:c r="J21" s="41" t="n">
        <x:v>1</x:v>
      </x:c>
      <x:c r="K21" s="41" t="n">
        <x:v>1</x:v>
      </x:c>
      <x:c r="L21" s="40" t="str">
        <x:v>It has been observed that a few candidates are not receiving the pre-joining link required to fill in their details.</x:v>
      </x:c>
      <x:c r="M21" s="42"/>
      <x:c r="N21" s="40"/>
      <x:c r="O21" s="40" t="str">
        <x:v>Main SOW business flow absent; any scaffolding is listed in What is done</x:v>
      </x:c>
      <x:c r="P21" s="40" t="str">
        <x:v>No additional completed business flow found beyond What is done. Plan/scaffolding alone does not establish completion.</x:v>
      </x:c>
    </x:row>
    <x:row r="22" ht="72" hidden="0" customHeight="1">
      <x:c r="A22" s="37" t="n">
        <x:v>26</x:v>
      </x:c>
      <x:c r="B22" s="37" t="str">
        <x:v>Workforce</x:v>
      </x:c>
      <x:c r="C22" s="37" t="str">
        <x:v>Platform auto CTC structuring based on predefined templates.</x:v>
      </x:c>
      <x:c r="D22" s="37" t="str">
        <x:v>Pending</x:v>
      </x:c>
      <x:c r="E22" s="37" t="str">
        <x:v>Payroll UI shell and integer-paise utilities only.</x:v>
      </x:c>
      <x:c r="F22" s="37" t="str">
        <x:v>Build salary structures/components, grade/location assignments, CTC breakdown and applicable benefits/incentives/perquisites. No payroll business router exists.</x:v>
      </x:c>
      <x:c r="G22" s="37" t="str">
        <x:v>PAY-01/02</x:v>
      </x:c>
      <x:c r="H22" s="37" t="str">
        <x:v>2.1–2.4</x:v>
      </x:c>
      <x:c r="I22" s="37" t="str">
        <x:v>plans/phase-2-payroll-statutory.md; backend/src/api/router.ts; frontend/src/pages/payroll/PayrollPage.tsx</x:v>
      </x:c>
      <x:c r="J22" s="38" t="n">
        <x:v>1</x:v>
      </x:c>
      <x:c r="K22" s="38" t="n">
        <x:v>1</x:v>
      </x:c>
      <x:c r="L22" s="37"/>
      <x:c r="M22" s="39"/>
      <x:c r="N22" s="37"/>
      <x:c r="O22" s="37" t="str">
        <x:v>Main SOW business flow absent; any scaffolding is listed in What is done</x:v>
      </x:c>
      <x:c r="P22" s="37" t="str">
        <x:v>No additional completed business flow found beyond What is done. Plan/scaffolding alone does not establish completion.</x:v>
      </x:c>
    </x:row>
    <x:row r="23" ht="72" hidden="0" customHeight="1">
      <x:c r="A23" s="40" t="n">
        <x:v>27</x:v>
      </x:c>
      <x:c r="B23" s="40" t="str">
        <x:v>Workforce</x:v>
      </x:c>
      <x:c r="C23" s="40" t="str">
        <x:v>Management of flexi-basket benefits and reimbursements.</x:v>
      </x:c>
      <x:c r="D23" s="40" t="str">
        <x:v>Pending</x:v>
      </x:c>
      <x:c r="E23" s="40" t="str">
        <x:v>ESS pay/loan/claim shells only; generic workflows available.</x:v>
      </x:c>
      <x:c r="F23" s="40" t="str">
        <x:v>Implement the row-specific ESS transaction: benefits/claims, investment declaration, loan application or payslip/tax generation. Backend modules are absent.</x:v>
      </x:c>
      <x:c r="G23" s="40" t="str">
        <x:v>PAY-13, LN-01/02, CLM-01..06, PAY-06</x:v>
      </x:c>
      <x:c r="H23" s="40" t="str">
        <x:v>2.3–2.5</x:v>
      </x:c>
      <x:c r="I23" s="40" t="str">
        <x:v>plans/phase-2-payroll-statutory.md; backend/src/api/router.ts; frontend/src/pages/payroll/PayrollPage.tsx</x:v>
      </x:c>
      <x:c r="J23" s="41" t="n">
        <x:v>1</x:v>
      </x:c>
      <x:c r="K23" s="41" t="n">
        <x:v>1</x:v>
      </x:c>
      <x:c r="L23" s="40" t="str">
        <x:v>RML to propose policy</x:v>
      </x:c>
      <x:c r="M23" s="42"/>
      <x:c r="N23" s="40"/>
      <x:c r="O23" s="40" t="str">
        <x:v>Main SOW business flow absent; any scaffolding is listed in What is done</x:v>
      </x:c>
      <x:c r="P23" s="40" t="str">
        <x:v>No additional completed business flow found beyond What is done. Plan/scaffolding alone does not establish completion.</x:v>
      </x:c>
    </x:row>
    <x:row r="24" ht="72" hidden="0" customHeight="1">
      <x:c r="A24" s="37" t="n">
        <x:v>28</x:v>
      </x:c>
      <x:c r="B24" s="37" t="str">
        <x:v>Workforce</x:v>
      </x:c>
      <x:c r="C24" s="37" t="str">
        <x:v>Employee investment declarations for tax planning.</x:v>
      </x:c>
      <x:c r="D24" s="37" t="str">
        <x:v>Pending</x:v>
      </x:c>
      <x:c r="E24" s="37" t="str">
        <x:v>ESS pay/loan/claim shells only; generic workflows available.</x:v>
      </x:c>
      <x:c r="F24" s="37" t="str">
        <x:v>Implement the row-specific ESS transaction: benefits/claims, investment declaration, loan application or payslip/tax generation. Backend modules are absent.</x:v>
      </x:c>
      <x:c r="G24" s="37" t="str">
        <x:v>PAY-13, LN-01/02, CLM-01..06, PAY-06</x:v>
      </x:c>
      <x:c r="H24" s="37" t="str">
        <x:v>2.3–2.5</x:v>
      </x:c>
      <x:c r="I24" s="37" t="str">
        <x:v>plans/phase-2-payroll-statutory.md; backend/src/api/router.ts; frontend/src/pages/payroll/PayrollPage.tsx</x:v>
      </x:c>
      <x:c r="J24" s="38" t="n">
        <x:v>1</x:v>
      </x:c>
      <x:c r="K24" s="38" t="n">
        <x:v>1</x:v>
      </x:c>
      <x:c r="L24" s="37"/>
      <x:c r="M24" s="39"/>
      <x:c r="N24" s="37"/>
      <x:c r="O24" s="37" t="str">
        <x:v>Main SOW business flow absent; any scaffolding is listed in What is done</x:v>
      </x:c>
      <x:c r="P24" s="37" t="str">
        <x:v>No additional completed business flow found beyond What is done. Plan/scaffolding alone does not establish completion.</x:v>
      </x:c>
    </x:row>
    <x:row r="25" ht="72" hidden="0" customHeight="1">
      <x:c r="A25" s="40" t="n">
        <x:v>29</x:v>
      </x:c>
      <x:c r="B25" s="40" t="str">
        <x:v>Workforce</x:v>
      </x:c>
      <x:c r="C25" s="40" t="str">
        <x:v>Employee loan processing on ESS portal and approval workflow .</x:v>
      </x:c>
      <x:c r="D25" s="40" t="str">
        <x:v>Pending</x:v>
      </x:c>
      <x:c r="E25" s="40" t="str">
        <x:v>ESS pay/loan/claim shells only; generic workflows available.</x:v>
      </x:c>
      <x:c r="F25" s="40" t="str">
        <x:v>Implement the row-specific ESS transaction: benefits/claims, investment declaration, loan application or payslip/tax generation. Backend modules are absent.</x:v>
      </x:c>
      <x:c r="G25" s="40" t="str">
        <x:v>PAY-13, LN-01/02, CLM-01..06, PAY-06</x:v>
      </x:c>
      <x:c r="H25" s="40" t="str">
        <x:v>2.3–2.5</x:v>
      </x:c>
      <x:c r="I25" s="40" t="str">
        <x:v>plans/phase-2-payroll-statutory.md; backend/src/api/router.ts; frontend/src/pages/payroll/PayrollPage.tsx</x:v>
      </x:c>
      <x:c r="J25" s="41" t="n">
        <x:v>1</x:v>
      </x:c>
      <x:c r="K25" s="41" t="n">
        <x:v>1</x:v>
      </x:c>
      <x:c r="L25" s="40"/>
      <x:c r="M25" s="42"/>
      <x:c r="N25" s="40"/>
      <x:c r="O25" s="40" t="str">
        <x:v>Main SOW business flow absent; any scaffolding is listed in What is done</x:v>
      </x:c>
      <x:c r="P25" s="40" t="str">
        <x:v>No additional completed business flow found beyond What is done. Plan/scaffolding alone does not establish completion.</x:v>
      </x:c>
    </x:row>
    <x:row r="26" ht="72" hidden="0" customHeight="1">
      <x:c r="A26" s="37" t="n">
        <x:v>30</x:v>
      </x:c>
      <x:c r="B26" s="37" t="str">
        <x:v>Workforce</x:v>
      </x:c>
      <x:c r="C26" s="37" t="str">
        <x:v>Payslip and tax sheet generation for onboarding employees.</x:v>
      </x:c>
      <x:c r="D26" s="37" t="str">
        <x:v>Pending</x:v>
      </x:c>
      <x:c r="E26" s="37" t="str">
        <x:v>ESS pay/loan/claim shells only; generic workflows available.</x:v>
      </x:c>
      <x:c r="F26" s="37" t="str">
        <x:v>Implement the row-specific ESS transaction: benefits/claims, investment declaration, loan application or payslip/tax generation. Backend modules are absent.</x:v>
      </x:c>
      <x:c r="G26" s="37" t="str">
        <x:v>PAY-13, LN-01/02, CLM-01..06, PAY-06</x:v>
      </x:c>
      <x:c r="H26" s="37" t="str">
        <x:v>2.3–2.5</x:v>
      </x:c>
      <x:c r="I26" s="37" t="str">
        <x:v>plans/phase-2-payroll-statutory.md; backend/src/api/router.ts; frontend/src/pages/payroll/PayrollPage.tsx</x:v>
      </x:c>
      <x:c r="J26" s="38" t="n">
        <x:v>1</x:v>
      </x:c>
      <x:c r="K26" s="38" t="n">
        <x:v>1</x:v>
      </x:c>
      <x:c r="L26" s="37"/>
      <x:c r="M26" s="39"/>
      <x:c r="N26" s="37"/>
      <x:c r="O26" s="37" t="str">
        <x:v>Main SOW business flow absent; any scaffolding is listed in What is done</x:v>
      </x:c>
      <x:c r="P26" s="37" t="str">
        <x:v>No additional completed business flow found beyond What is done. Plan/scaffolding alone does not establish completion.</x:v>
      </x:c>
    </x:row>
    <x:row r="27" ht="72" hidden="0" customHeight="1">
      <x:c r="A27" s="40" t="n">
        <x:v>31</x:v>
      </x:c>
      <x:c r="B27" s="40" t="str">
        <x:v>Workforce</x:v>
      </x:c>
      <x:c r="C27" s="40" t="str">
        <x:v>capturing previous employment details.</x:v>
      </x:c>
      <x:c r="D27" s="40" t="str">
        <x:v>Pending</x:v>
      </x:c>
      <x:c r="E27" s="40" t="str">
        <x:v>Current profile/import omits previous-employment capture.</x:v>
      </x:c>
      <x:c r="F27" s="40" t="str">
        <x:v>Build previous-employment persistence, import/form/read contract and onboarding integration. Specified table is absent from the 07 Oct schema recon.</x:v>
      </x:c>
      <x:c r="G27" s="40" t="str">
        <x:v>CORE-01, LC-01</x:v>
      </x:c>
      <x:c r="H27" s="40" t="str">
        <x:v>0.5 / 3.1</x:v>
      </x:c>
      <x:c r="I27" s="40" t="str">
        <x:v>backend/migrations/1751810000000_org-employees.ts; backend/src/modules/employees/employees.router.ts; docs/recon/greythr-additional-fields-2026-10-07.md</x:v>
      </x:c>
      <x:c r="J27" s="41" t="n">
        <x:v>1</x:v>
      </x:c>
      <x:c r="K27" s="41" t="n">
        <x:v>1</x:v>
      </x:c>
      <x:c r="L27" s="40"/>
      <x:c r="M27" s="42"/>
      <x:c r="N27" s="40"/>
      <x:c r="O27" s="40" t="str">
        <x:v>Main SOW business flow absent; any scaffolding is listed in What is done</x:v>
      </x:c>
      <x:c r="P27" s="40" t="str">
        <x:v>No additional completed business flow found beyond What is done. Plan/scaffolding alone does not establish completion.</x:v>
      </x:c>
    </x:row>
    <x:row r="28" ht="72" hidden="0" customHeight="1">
      <x:c r="A28" s="37" t="n">
        <x:v>33</x:v>
      </x:c>
      <x:c r="B28" s="37" t="str">
        <x:v>Workforce</x:v>
      </x:c>
      <x:c r="C28" s="37" t="str">
        <x:v>Probation review tracking and automated reminders</x:v>
      </x:c>
      <x:c r="D28" s="37" t="str">
        <x:v>Pending</x:v>
      </x:c>
      <x:c r="E28" s="37" t="str">
        <x:v>Probation fields and generic confirmation chain definition exist.</x:v>
      </x:c>
      <x:c r="F28" s="37" t="str">
        <x:v>Build probation reviews, due reminders, outcome hooks, salary switch and letters. A seeded chain alone does not complete the process.</x:v>
      </x:c>
      <x:c r="G28" s="37" t="str">
        <x:v>LC-04, PAY-02</x:v>
      </x:c>
      <x:c r="H28" s="37" t="str">
        <x:v>3.1</x:v>
      </x:c>
      <x:c r="I28" s="37" t="str">
        <x:v>plans/phase-3-lifecycle-assets-executive.md; backend/src/modules/lifecycle/lifecycle.router.ts; frontend/src/pages/lifecycle/LifecyclePage.tsx; backend/src/modules/workflows/definitions.seed.ts</x:v>
      </x:c>
      <x:c r="J28" s="38" t="n">
        <x:v>0.7</x:v>
      </x:c>
      <x:c r="K28" s="38" t="n">
        <x:v>0.7</x:v>
      </x:c>
      <x:c r="L28" s="37" t="str">
        <x:v>Change of Approval flow &amp; Team is working on it.</x:v>
      </x:c>
      <x:c r="M28" s="39" t="d">
        <x:v>2025-08-13T00:00:00.000Z</x:v>
      </x:c>
      <x:c r="N28" s="37"/>
      <x:c r="O28" s="37" t="str">
        <x:v>Main SOW business flow absent; any scaffolding is listed in What is done</x:v>
      </x:c>
      <x:c r="P28" s="37" t="str">
        <x:v>No additional completed business flow found beyond What is done. Plan/scaffolding alone does not establish completion.</x:v>
      </x:c>
    </x:row>
    <x:row r="29" ht="72" hidden="0" customHeight="1">
      <x:c r="A29" s="40" t="n">
        <x:v>34</x:v>
      </x:c>
      <x:c r="B29" s="40" t="str">
        <x:v>Workforce</x:v>
      </x:c>
      <x:c r="C29" s="40" t="str">
        <x:v>Updating multi-level approval workflows for employee confirmation</x:v>
      </x:c>
      <x:c r="D29" s="40" t="str">
        <x:v>Pending</x:v>
      </x:c>
      <x:c r="E29" s="40" t="str">
        <x:v>Probation fields and generic confirmation chain definition exist.</x:v>
      </x:c>
      <x:c r="F29" s="40" t="str">
        <x:v>Build probation reviews, due reminders, outcome hooks, salary switch and letters. A seeded chain alone does not complete the process.</x:v>
      </x:c>
      <x:c r="G29" s="40" t="str">
        <x:v>LC-04, PAY-02</x:v>
      </x:c>
      <x:c r="H29" s="40" t="str">
        <x:v>3.1</x:v>
      </x:c>
      <x:c r="I29" s="40" t="str">
        <x:v>plans/phase-3-lifecycle-assets-executive.md; backend/src/modules/lifecycle/lifecycle.router.ts; frontend/src/pages/lifecycle/LifecyclePage.tsx; backend/src/modules/workflows/definitions.seed.ts</x:v>
      </x:c>
      <x:c r="J29" s="41" t="n">
        <x:v>0.7</x:v>
      </x:c>
      <x:c r="K29" s="41" t="n">
        <x:v>0.7</x:v>
      </x:c>
      <x:c r="L29" s="40" t="str">
        <x:v>RML will know once probation is complete</x:v>
      </x:c>
      <x:c r="M29" s="42"/>
      <x:c r="N29" s="40"/>
      <x:c r="O29" s="40" t="str">
        <x:v>Main SOW business flow absent; any scaffolding is listed in What is done</x:v>
      </x:c>
      <x:c r="P29" s="40" t="str">
        <x:v>No additional completed business flow found beyond What is done. Plan/scaffolding alone does not establish completion.</x:v>
      </x:c>
    </x:row>
    <x:row r="30" ht="72" hidden="0" customHeight="1">
      <x:c r="A30" s="37" t="n">
        <x:v>36</x:v>
      </x:c>
      <x:c r="B30" s="37" t="str">
        <x:v>Workforce</x:v>
      </x:c>
      <x:c r="C30" s="37" t="str">
        <x:v>Platform automated workflow for internal department/location transfers.</x:v>
      </x:c>
      <x:c r="D30" s="37" t="str">
        <x:v>Pending</x:v>
      </x:c>
      <x:c r="E30" s="37" t="str">
        <x:v>Employee history schema and generic transfer definition exist.</x:v>
      </x:c>
      <x:c r="F30" s="37" t="str">
        <x:v>Build approved effective-dated transfer mutations, document updates, compensation/role changes and entity payroll continuity.</x:v>
      </x:c>
      <x:c r="G30" s="37" t="str">
        <x:v>LC-05, PAY-16</x:v>
      </x:c>
      <x:c r="H30" s="37" t="str">
        <x:v>3.3</x:v>
      </x:c>
      <x:c r="I30" s="37" t="str">
        <x:v>plans/phase-3-lifecycle-assets-executive.md; backend/src/modules/lifecycle/lifecycle.router.ts; frontend/src/pages/lifecycle/LifecyclePage.tsx; backend/src/modules/workflows/definitions.seed.ts</x:v>
      </x:c>
      <x:c r="J30" s="38" t="n">
        <x:v>1</x:v>
      </x:c>
      <x:c r="K30" s="38" t="n">
        <x:v>1</x:v>
      </x:c>
      <x:c r="L30" s="37"/>
      <x:c r="M30" s="39"/>
      <x:c r="N30" s="37"/>
      <x:c r="O30" s="37" t="str">
        <x:v>Main SOW business flow absent; any scaffolding is listed in What is done</x:v>
      </x:c>
      <x:c r="P30" s="37" t="str">
        <x:v>No additional completed business flow found beyond What is done. Plan/scaffolding alone does not establish completion.</x:v>
      </x:c>
    </x:row>
    <x:row r="31" ht="72" hidden="0" customHeight="1">
      <x:c r="A31" s="40" t="n">
        <x:v>37</x:v>
      </x:c>
      <x:c r="B31" s="40" t="str">
        <x:v>Workforce</x:v>
      </x:c>
      <x:c r="C31" s="40" t="str">
        <x:v>Platform-driven approvals and documentation updates.</x:v>
      </x:c>
      <x:c r="D31" s="40" t="str">
        <x:v>Pending</x:v>
      </x:c>
      <x:c r="E31" s="40" t="str">
        <x:v>Employee history schema and generic transfer definition exist.</x:v>
      </x:c>
      <x:c r="F31" s="40" t="str">
        <x:v>Build approved effective-dated transfer mutations, document updates, compensation/role changes and entity payroll continuity.</x:v>
      </x:c>
      <x:c r="G31" s="40" t="str">
        <x:v>LC-05, PAY-16</x:v>
      </x:c>
      <x:c r="H31" s="40" t="str">
        <x:v>3.3</x:v>
      </x:c>
      <x:c r="I31" s="40" t="str">
        <x:v>plans/phase-3-lifecycle-assets-executive.md; backend/src/modules/lifecycle/lifecycle.router.ts; frontend/src/pages/lifecycle/LifecyclePage.tsx; backend/src/modules/workflows/definitions.seed.ts</x:v>
      </x:c>
      <x:c r="J31" s="41" t="n">
        <x:v>1</x:v>
      </x:c>
      <x:c r="K31" s="41" t="n">
        <x:v>1</x:v>
      </x:c>
      <x:c r="L31" s="40"/>
      <x:c r="M31" s="42"/>
      <x:c r="N31" s="40"/>
      <x:c r="O31" s="40" t="str">
        <x:v>Main SOW business flow absent; any scaffolding is listed in What is done</x:v>
      </x:c>
      <x:c r="P31" s="40" t="str">
        <x:v>No additional completed business flow found beyond What is done. Plan/scaffolding alone does not establish completion.</x:v>
      </x:c>
    </x:row>
    <x:row r="32" ht="72" hidden="0" customHeight="1">
      <x:c r="A32" s="37" t="n">
        <x:v>38</x:v>
      </x:c>
      <x:c r="B32" s="37" t="str">
        <x:v>Workforce</x:v>
      </x:c>
      <x:c r="C32" s="37" t="str">
        <x:v>compensation and role change updates in HRMS.</x:v>
      </x:c>
      <x:c r="D32" s="37" t="str">
        <x:v>Pending</x:v>
      </x:c>
      <x:c r="E32" s="37" t="str">
        <x:v>Employee history schema and generic transfer definition exist.</x:v>
      </x:c>
      <x:c r="F32" s="37" t="str">
        <x:v>Build approved effective-dated transfer mutations, document updates, compensation/role changes and entity payroll continuity.</x:v>
      </x:c>
      <x:c r="G32" s="37" t="str">
        <x:v>LC-05, PAY-16</x:v>
      </x:c>
      <x:c r="H32" s="37" t="str">
        <x:v>3.3</x:v>
      </x:c>
      <x:c r="I32" s="37" t="str">
        <x:v>plans/phase-3-lifecycle-assets-executive.md; backend/src/modules/lifecycle/lifecycle.router.ts; frontend/src/pages/lifecycle/LifecyclePage.tsx; backend/src/modules/workflows/definitions.seed.ts</x:v>
      </x:c>
      <x:c r="J32" s="38" t="n">
        <x:v>1</x:v>
      </x:c>
      <x:c r="K32" s="38" t="n">
        <x:v>1</x:v>
      </x:c>
      <x:c r="L32" s="37"/>
      <x:c r="M32" s="39"/>
      <x:c r="N32" s="37"/>
      <x:c r="O32" s="37" t="str">
        <x:v>Main SOW business flow absent; any scaffolding is listed in What is done</x:v>
      </x:c>
      <x:c r="P32" s="37" t="str">
        <x:v>No additional completed business flow found beyond What is done. Plan/scaffolding alone does not establish completion.</x:v>
      </x:c>
    </x:row>
    <x:row r="33" ht="72" hidden="0" customHeight="1">
      <x:c r="A33" s="40" t="n">
        <x:v>40</x:v>
      </x:c>
      <x:c r="B33" s="40" t="str">
        <x:v>Workforce</x:v>
      </x:c>
      <x:c r="C33" s="40" t="str">
        <x:v>• Resignation initiation, tracking, and approval workflows.</x:v>
      </x:c>
      <x:c r="D33" s="40" t="str">
        <x:v>Pending</x:v>
      </x:c>
      <x:c r="E33" s="40" t="str">
        <x:v>Generic resignation definition and asset holdings lookup exist.</x:v>
      </x:c>
      <x:c r="F33" s="40" t="str">
        <x:v>Build ESS resignation, notices, departmental clearances, settlement compute/payment and exit cascade. No full separation API exists.</x:v>
      </x:c>
      <x:c r="G33" s="40" t="str">
        <x:v>LC-06/07, PAY-15</x:v>
      </x:c>
      <x:c r="H33" s="40" t="str">
        <x:v>3.2</x:v>
      </x:c>
      <x:c r="I33" s="40" t="str">
        <x:v>plans/phase-3-lifecycle-assets-executive.md; backend/src/modules/lifecycle/lifecycle.router.ts; frontend/src/pages/lifecycle/LifecyclePage.tsx; plans/phase-2-payroll-statutory.md; backend/src/api/router.ts; frontend/src/pages/payroll/PayrollPage.tsx</x:v>
      </x:c>
      <x:c r="J33" s="41" t="n">
        <x:v>1</x:v>
      </x:c>
      <x:c r="K33" s="41" t="n">
        <x:v>1</x:v>
      </x:c>
      <x:c r="L33" s="40"/>
      <x:c r="M33" s="42"/>
      <x:c r="N33" s="40"/>
      <x:c r="O33" s="40" t="str">
        <x:v>Main SOW business flow absent; any scaffolding is listed in What is done</x:v>
      </x:c>
      <x:c r="P33" s="40" t="str">
        <x:v>No additional completed business flow found beyond What is done. Plan/scaffolding alone does not establish completion.</x:v>
      </x:c>
    </x:row>
    <x:row r="34" ht="72" hidden="0" customHeight="1">
      <x:c r="A34" s="37" t="n">
        <x:v>41</x:v>
      </x:c>
      <x:c r="B34" s="37" t="str">
        <x:v>Workforce</x:v>
      </x:c>
      <x:c r="C34" s="37" t="str">
        <x:v>• Digital clearance process across departments (IT, Admin, Finance)</x:v>
      </x:c>
      <x:c r="D34" s="37" t="str">
        <x:v>Pending</x:v>
      </x:c>
      <x:c r="E34" s="37" t="str">
        <x:v>Generic resignation definition and asset holdings lookup exist.</x:v>
      </x:c>
      <x:c r="F34" s="37" t="str">
        <x:v>Build ESS resignation, notices, departmental clearances, settlement compute/payment and exit cascade. No full separation API exists.</x:v>
      </x:c>
      <x:c r="G34" s="37" t="str">
        <x:v>LC-06/07, PAY-15</x:v>
      </x:c>
      <x:c r="H34" s="37" t="str">
        <x:v>3.2</x:v>
      </x:c>
      <x:c r="I34" s="37" t="str">
        <x:v>plans/phase-3-lifecycle-assets-executive.md; backend/src/modules/lifecycle/lifecycle.router.ts; frontend/src/pages/lifecycle/LifecyclePage.tsx; plans/phase-2-payroll-statutory.md; backend/src/api/router.ts; frontend/src/pages/payroll/PayrollPage.tsx</x:v>
      </x:c>
      <x:c r="J34" s="38" t="n">
        <x:v>1</x:v>
      </x:c>
      <x:c r="K34" s="38" t="n">
        <x:v>1</x:v>
      </x:c>
      <x:c r="L34" s="37"/>
      <x:c r="M34" s="39"/>
      <x:c r="N34" s="37"/>
      <x:c r="O34" s="37" t="str">
        <x:v>Main SOW business flow absent; any scaffolding is listed in What is done</x:v>
      </x:c>
      <x:c r="P34" s="37" t="str">
        <x:v>No additional completed business flow found beyond What is done. Plan/scaffolding alone does not establish completion.</x:v>
      </x:c>
    </x:row>
    <x:row r="35" ht="72" hidden="0" customHeight="1">
      <x:c r="A35" s="40" t="n">
        <x:v>42</x:v>
      </x:c>
      <x:c r="B35" s="40" t="str">
        <x:v>Workforce</x:v>
      </x:c>
      <x:c r="C35" s="40" t="str">
        <x:v>• Final settlement and compliance with statutory requirements.</x:v>
      </x:c>
      <x:c r="D35" s="40" t="str">
        <x:v>Pending</x:v>
      </x:c>
      <x:c r="E35" s="40" t="str">
        <x:v>Generic resignation definition and asset holdings lookup exist.</x:v>
      </x:c>
      <x:c r="F35" s="40" t="str">
        <x:v>Build ESS resignation, notices, departmental clearances, settlement compute/payment and exit cascade. No full separation API exists.</x:v>
      </x:c>
      <x:c r="G35" s="40" t="str">
        <x:v>LC-06/07, PAY-15</x:v>
      </x:c>
      <x:c r="H35" s="40" t="str">
        <x:v>3.2</x:v>
      </x:c>
      <x:c r="I35" s="40" t="str">
        <x:v>plans/phase-3-lifecycle-assets-executive.md; backend/src/modules/lifecycle/lifecycle.router.ts; frontend/src/pages/lifecycle/LifecyclePage.tsx; plans/phase-2-payroll-statutory.md; backend/src/api/router.ts; frontend/src/pages/payroll/PayrollPage.tsx</x:v>
      </x:c>
      <x:c r="J35" s="41" t="n">
        <x:v>0.7</x:v>
      </x:c>
      <x:c r="K35" s="41" t="n">
        <x:v>0.7</x:v>
      </x:c>
      <x:c r="L35" s="40" t="str">
        <x:v>FnF to run for 1st time in Aug 25</x:v>
      </x:c>
      <x:c r="M35" s="42" t="d">
        <x:v>2025-08-18T00:00:00.000Z</x:v>
      </x:c>
      <x:c r="N35" s="40"/>
      <x:c r="O35" s="40" t="str">
        <x:v>Main SOW business flow absent; any scaffolding is listed in What is done</x:v>
      </x:c>
      <x:c r="P35" s="40" t="str">
        <x:v>No additional completed business flow found beyond What is done. Plan/scaffolding alone does not establish completion.</x:v>
      </x:c>
    </x:row>
    <x:row r="36" ht="85" hidden="0" customHeight="1">
      <x:c r="A36" s="37" t="n">
        <x:v>44</x:v>
      </x:c>
      <x:c r="B36" s="37" t="str">
        <x:v>Workforce</x:v>
      </x:c>
      <x:c r="C36" s="37" t="str">
        <x:v>• Generation of various employee-related letters, including:
 o Experience letters
 o Relieving letters
 o Salary certificates</x:v>
      </x:c>
      <x:c r="D36" s="37" t="str">
        <x:v>Partial</x:v>
      </x:c>
      <x:c r="E36" s="37" t="str">
        <x:v>Experience, relieving and salary-certificate templates plus issuance/archive exist.</x:v>
      </x:c>
      <x:c r="F36" s="37" t="str">
        <x:v>Tie exit letters to paid F&amp;F/clearance. Salary amount is a caller-supplied merge field, not derived from a live salary engine. Accept production templates.</x:v>
      </x:c>
      <x:c r="G36" s="37" t="str">
        <x:v>CORE-09, LC-06, PAY-15</x:v>
      </x:c>
      <x:c r="H36" s="37" t="str">
        <x:v>1.6 / 3.2</x:v>
      </x:c>
      <x:c r="I36" s="37" t="str">
        <x:v>backend/src/modules/letters/letters.service.ts; frontend/src/pages/letters/LettersPage.tsx; plans/phase-3-lifecycle-assets-executive.md; backend/src/modules/lifecycle/lifecycle.router.ts; frontend/src/pages/lifecycle/LifecyclePage.tsx</x:v>
      </x:c>
      <x:c r="J36" s="38" t="n">
        <x:v>1</x:v>
      </x:c>
      <x:c r="K36" s="38" t="n">
        <x:v>1</x:v>
      </x:c>
      <x:c r="L36" s="37"/>
      <x:c r="M36" s="39"/>
      <x:c r="N36" s="37"/>
      <x:c r="O36" s="37" t="str">
        <x:v>Supporting implementation exists; exact SOW point incomplete</x:v>
      </x:c>
      <x:c r="P36" s="37" t="str">
        <x:v>Code credited independently of plan checkboxes. See What is done, What remains and repository evidence.</x:v>
      </x:c>
    </x:row>
    <x:row r="37" ht="72" hidden="0" customHeight="1">
      <x:c r="A37" s="40" t="n">
        <x:v>47</x:v>
      </x:c>
      <x:c r="B37" s="40" t="str">
        <x:v>Leave &amp; attendance</x:v>
      </x:c>
      <x:c r="C37" s="40" t="str">
        <x:v>Defining and configuring multiple shift types (fixed, rotational, flexible, night shifts, etc.).</x:v>
      </x:c>
      <x:c r="D37" s="40" t="str">
        <x:v>Partial</x:v>
      </x:c>
      <x:c r="E37" s="40" t="str">
        <x:v>Shift CRUD covers clock times, night crossing, sessions, grace and thresholds.</x:v>
      </x:c>
      <x:c r="F37" s="40" t="str">
        <x:v>Prove flexible/rotational shift behaviors and exact production thresholds/schemes; effective-date overlap protection remains an audit finding.</x:v>
      </x:c>
      <x:c r="G37" s="40" t="str">
        <x:v>ATT-04/05</x:v>
      </x:c>
      <x:c r="H37" s="40" t="str">
        <x:v>1.2 / 1.8</x:v>
      </x:c>
      <x:c r="I37" s="40" t="str">
        <x:v>backend/src/modules/attendance/attendance-config.router.ts; backend/src/modules/attendance/day-status.service.ts; docs/recon/database-audit-2026-10-07.md</x:v>
      </x:c>
      <x:c r="J37" s="41" t="n">
        <x:v>1</x:v>
      </x:c>
      <x:c r="K37" s="41" t="n">
        <x:v>1</x:v>
      </x:c>
      <x:c r="L37" s="40"/>
      <x:c r="M37" s="42"/>
      <x:c r="N37" s="40"/>
      <x:c r="O37" s="40" t="str">
        <x:v>Supporting implementation exists; exact SOW point incomplete</x:v>
      </x:c>
      <x:c r="P37" s="40" t="str">
        <x:v>Code credited independently of plan checkboxes. See What is done, What remains and repository evidence.</x:v>
      </x:c>
    </x:row>
    <x:row r="38" ht="72" hidden="0" customHeight="1">
      <x:c r="A38" s="37" t="n">
        <x:v>48</x:v>
      </x:c>
      <x:c r="B38" s="37" t="str">
        <x:v>Leave &amp; attendance</x:v>
      </x:c>
      <x:c r="C38" s="37" t="str">
        <x:v>Platform automated shift scheduling and roster management.</x:v>
      </x:c>
      <x:c r="D38" s="37" t="str">
        <x:v>Partial</x:v>
      </x:c>
      <x:c r="E38" s="37" t="str">
        <x:v>Manager roster read/bulk update, employee shift scheme and reminder schedule exist.</x:v>
      </x:c>
      <x:c r="F38" s="37" t="str">
        <x:v>Automated roster generation/rotation is not evidenced; confirm whether manual manager roster plus reminders meets this SOW wording. Complete UAT.</x:v>
      </x:c>
      <x:c r="G38" s="37" t="str">
        <x:v>ATT-04</x:v>
      </x:c>
      <x:c r="H38" s="37" t="str">
        <x:v>1.2 / 1.7</x:v>
      </x:c>
      <x:c r="I38" s="37" t="str">
        <x:v>backend/src/modules/attendance/attendance-config.router.ts; backend/src/modules/attendance/day-status.service.ts; backend/src/modules/attendance/roster.service.ts; frontend/src/pages/team/TeamPage.tsx</x:v>
      </x:c>
      <x:c r="J38" s="38" t="n">
        <x:v>1</x:v>
      </x:c>
      <x:c r="K38" s="38" t="n">
        <x:v>1</x:v>
      </x:c>
      <x:c r="L38" s="37"/>
      <x:c r="M38" s="39"/>
      <x:c r="N38" s="37"/>
      <x:c r="O38" s="37" t="str">
        <x:v>Supporting implementation exists; exact SOW point incomplete</x:v>
      </x:c>
      <x:c r="P38" s="37" t="str">
        <x:v>Code credited independently of plan checkboxes. See What is done, What remains and repository evidence.</x:v>
      </x:c>
    </x:row>
    <x:row r="39" ht="72" hidden="0" customHeight="1">
      <x:c r="A39" s="40" t="n">
        <x:v>49</x:v>
      </x:c>
      <x:c r="B39" s="40" t="str">
        <x:v>Leave &amp; attendance</x:v>
      </x:c>
      <x:c r="C39" s="40" t="str">
        <x:v>Integration with biometric systems.</x:v>
      </x:c>
      <x:c r="D39" s="40" t="str">
        <x:v>Partial</x:v>
      </x:c>
      <x:c r="E39" s="40" t="str">
        <x:v>Swappable Kent interface, mock ingestion, immutable swipe pipeline and device-health UI exist.</x:v>
      </x:c>
      <x:c r="F39" s="40" t="str">
        <x:v>Confirm access protocol; replace MockKentConnector, ingest/reconcile real door swipes, prove lag/backfill/watermarks in production.</x:v>
      </x:c>
      <x:c r="G39" s="40" t="str">
        <x:v>ATT-01/02</x:v>
      </x:c>
      <x:c r="H39" s="40" t="str">
        <x:v>0.1 / 0.6 / 1.1</x:v>
      </x:c>
      <x:c r="I39" s="40" t="str">
        <x:v>backend/src/modules/attendance/kent-connector.ts; backend/src/modules/attendance/kent-sync.job.ts; plans/phase-0-foundations.md</x:v>
      </x:c>
      <x:c r="J39" s="41" t="n">
        <x:v>1</x:v>
      </x:c>
      <x:c r="K39" s="41" t="n">
        <x:v>1</x:v>
      </x:c>
      <x:c r="L39" s="40"/>
      <x:c r="M39" s="42"/>
      <x:c r="N39" s="40"/>
      <x:c r="O39" s="40" t="str">
        <x:v>Supporting implementation exists; exact SOW point incomplete</x:v>
      </x:c>
      <x:c r="P39" s="40" t="str">
        <x:v>Code credited independently of plan checkboxes. See What is done, What remains and repository evidence.</x:v>
      </x:c>
    </x:row>
    <x:row r="40" ht="72" hidden="0" customHeight="1">
      <x:c r="A40" s="37" t="n">
        <x:v>51</x:v>
      </x:c>
      <x:c r="B40" s="37" t="str">
        <x:v>Leave &amp; attendance</x:v>
      </x:c>
      <x:c r="C40" s="37" t="str">
        <x:v>management of real-time biometric attendance integration in system.</x:v>
      </x:c>
      <x:c r="D40" s="37" t="str">
        <x:v>Partial</x:v>
      </x:c>
      <x:c r="E40" s="37" t="str">
        <x:v>Swappable Kent interface, mock ingestion, immutable swipe pipeline and device-health UI exist.</x:v>
      </x:c>
      <x:c r="F40" s="37" t="str">
        <x:v>Confirm access protocol; replace MockKentConnector, ingest/reconcile real door swipes, prove lag/backfill/watermarks in production.</x:v>
      </x:c>
      <x:c r="G40" s="37" t="str">
        <x:v>ATT-01/02</x:v>
      </x:c>
      <x:c r="H40" s="37" t="str">
        <x:v>0.1 / 0.6 / 1.1</x:v>
      </x:c>
      <x:c r="I40" s="37" t="str">
        <x:v>backend/src/modules/attendance/kent-connector.ts; backend/src/modules/attendance/kent-sync.job.ts; plans/phase-0-foundations.md</x:v>
      </x:c>
      <x:c r="J40" s="38" t="n">
        <x:v>1</x:v>
      </x:c>
      <x:c r="K40" s="38" t="n">
        <x:v>1</x:v>
      </x:c>
      <x:c r="L40" s="37"/>
      <x:c r="M40" s="39"/>
      <x:c r="N40" s="37"/>
      <x:c r="O40" s="37" t="str">
        <x:v>Supporting implementation exists; exact SOW point incomplete</x:v>
      </x:c>
      <x:c r="P40" s="37" t="str">
        <x:v>Code credited independently of plan checkboxes. See What is done, What remains and repository evidence.</x:v>
      </x:c>
    </x:row>
    <x:row r="41" ht="72" hidden="0" customHeight="1">
      <x:c r="A41" s="40" t="n">
        <x:v>52</x:v>
      </x:c>
      <x:c r="B41" s="40" t="str">
        <x:v>Leave &amp; attendance</x:v>
      </x:c>
      <x:c r="C41" s="40" t="str">
        <x:v>integration with access control systems for seamless tracking.</x:v>
      </x:c>
      <x:c r="D41" s="40" t="str">
        <x:v>Partial</x:v>
      </x:c>
      <x:c r="E41" s="40" t="str">
        <x:v>Swappable Kent interface, mock ingestion, immutable swipe pipeline and device-health UI exist.</x:v>
      </x:c>
      <x:c r="F41" s="40" t="str">
        <x:v>Confirm access protocol; replace MockKentConnector, ingest/reconcile real door swipes, prove lag/backfill/watermarks in production.</x:v>
      </x:c>
      <x:c r="G41" s="40" t="str">
        <x:v>ATT-01/02</x:v>
      </x:c>
      <x:c r="H41" s="40" t="str">
        <x:v>0.1 / 0.6 / 1.1</x:v>
      </x:c>
      <x:c r="I41" s="40" t="str">
        <x:v>backend/src/modules/attendance/kent-connector.ts; backend/src/modules/attendance/kent-sync.job.ts; plans/phase-0-foundations.md</x:v>
      </x:c>
      <x:c r="J41" s="41" t="n">
        <x:v>1</x:v>
      </x:c>
      <x:c r="K41" s="41" t="n">
        <x:v>1</x:v>
      </x:c>
      <x:c r="L41" s="40"/>
      <x:c r="M41" s="42"/>
      <x:c r="N41" s="40"/>
      <x:c r="O41" s="40" t="str">
        <x:v>Supporting implementation exists; exact SOW point incomplete</x:v>
      </x:c>
      <x:c r="P41" s="40" t="str">
        <x:v>Code credited independently of plan checkboxes. See What is done, What remains and repository evidence.</x:v>
      </x:c>
    </x:row>
    <x:row r="42" ht="85" hidden="0" customHeight="1">
      <x:c r="A42" s="37" t="n">
        <x:v>53</x:v>
      </x:c>
      <x:c r="B42" s="37" t="str">
        <x:v>Leave &amp; attendance</x:v>
      </x:c>
      <x:c r="C42" s="37" t="str">
        <x:v>Platform automated late coming and early leaving reports.</x:v>
      </x:c>
      <x:c r="D42" s="37" t="str">
        <x:v>Implemented</x:v>
      </x:c>
      <x:c r="E42" s="37" t="str">
        <x:v>Late/early calculations, R4 exception table and same-filter Excel export exist.</x:v>
      </x:c>
      <x:c r="F42" s="37" t="str">
        <x:v>Accept production grace/scheme settings and reconcile with real Kent data in G1 UAT.</x:v>
      </x:c>
      <x:c r="G42" s="37" t="str">
        <x:v>ATT-05, RPT-06</x:v>
      </x:c>
      <x:c r="H42" s="37" t="str">
        <x:v>1.7</x:v>
      </x:c>
      <x:c r="I42" s="37" t="str">
        <x:v>backend/src/modules/reports/reports.service.ts; backend/src/modules/reports/reports-export.service.ts; backend/tests/stage17-supporting-reports.integration.test.ts; backend/src/modules/attendance/attendance-config.router.ts; backend/src/modules/attendance/day-status.service.ts</x:v>
      </x:c>
      <x:c r="J42" s="38" t="n">
        <x:v>1</x:v>
      </x:c>
      <x:c r="K42" s="38" t="n">
        <x:v>1</x:v>
      </x:c>
      <x:c r="L42" s="37" t="str">
        <x:v>policy adhered</x:v>
      </x:c>
      <x:c r="M42" s="39"/>
      <x:c r="N42" s="37"/>
      <x:c r="O42" s="37" t="str">
        <x:v>Capability implemented in reviewed code; acceptance pending</x:v>
      </x:c>
      <x:c r="P42" s="37" t="str">
        <x:v>Code credited independently of plan checkboxes. See What is done, What remains and repository evidence.</x:v>
      </x:c>
    </x:row>
    <x:row r="43" ht="72" hidden="0" customHeight="1">
      <x:c r="A43" s="40" t="n">
        <x:v>54</x:v>
      </x:c>
      <x:c r="B43" s="40" t="str">
        <x:v>Leave &amp; attendance</x:v>
      </x:c>
      <x:c r="C43" s="40" t="str">
        <x:v>Platform alerts for absenteeism, regularization requests, and policy violations</x:v>
      </x:c>
      <x:c r="D43" s="40" t="str">
        <x:v>Partial</x:v>
      </x:c>
      <x:c r="E43" s="40" t="str">
        <x:v>Absence scanning, regularization workflow, notification queue and scheduler hooks exist.</x:v>
      </x:c>
      <x:c r="F43" s="40" t="str">
        <x:v>Wire delivery consumer/SMTP; prove real employee/manager alerts and resolve production sync gaps.</x:v>
      </x:c>
      <x:c r="G43" s="40" t="str">
        <x:v>ATT-10/11, WF-02</x:v>
      </x:c>
      <x:c r="H43" s="40" t="str">
        <x:v>1.4 / 1.6</x:v>
      </x:c>
      <x:c r="I43" s="40" t="str">
        <x:v>backend/src/modules/attendance/absence.service.ts; backend/src/modules/attendance/regularization.service.ts; backend/src/modules/notifications/notifications.service.ts; backend/src/jobs/worker.ts</x:v>
      </x:c>
      <x:c r="J43" s="41" t="n">
        <x:v>1</x:v>
      </x:c>
      <x:c r="K43" s="41" t="n">
        <x:v>1</x:v>
      </x:c>
      <x:c r="L43" s="40"/>
      <x:c r="M43" s="42"/>
      <x:c r="N43" s="40"/>
      <x:c r="O43" s="40" t="str">
        <x:v>Supporting implementation exists; exact SOW point incomplete</x:v>
      </x:c>
      <x:c r="P43" s="40" t="str">
        <x:v>Code credited independently of plan checkboxes. See What is done, What remains and repository evidence.</x:v>
      </x:c>
    </x:row>
    <x:row r="44" ht="72" hidden="0" customHeight="1">
      <x:c r="A44" s="37" t="n">
        <x:v>56</x:v>
      </x:c>
      <x:c r="B44" s="37" t="str">
        <x:v>Leave &amp; attendance</x:v>
      </x:c>
      <x:c r="C44" s="37" t="str">
        <x:v>Configuration of leave types (annual, sick, maternity, casual, etc.).</x:v>
      </x:c>
      <x:c r="D44" s="37" t="str">
        <x:v>Partial</x:v>
      </x:c>
      <x:c r="E44" s="37" t="str">
        <x:v>Leave catalog seed and audited create/update API exist.</x:v>
      </x:c>
      <x:c r="F44" s="37" t="str">
        <x:v>Finish HR leave-type configuration UI; current LeaveAdmin page only runs accrual/expiry and shows register pending. Accept policies.</x:v>
      </x:c>
      <x:c r="G44" s="37" t="str">
        <x:v>LV-01</x:v>
      </x:c>
      <x:c r="H44" s="37" t="str">
        <x:v>1.5 / 1.8</x:v>
      </x:c>
      <x:c r="I44" s="37" t="str">
        <x:v>backend/src/modules/leave/leave.router.ts; backend/src/modules/leave/leave-core.service.ts; backend/tests/stage15-leave.integration.test.ts; frontend/src/pages/leave/LeaveAdminPage.tsx</x:v>
      </x:c>
      <x:c r="J44" s="38" t="n">
        <x:v>1</x:v>
      </x:c>
      <x:c r="K44" s="38" t="n">
        <x:v>1</x:v>
      </x:c>
      <x:c r="L44" s="37"/>
      <x:c r="M44" s="39"/>
      <x:c r="N44" s="37"/>
      <x:c r="O44" s="37" t="str">
        <x:v>Supporting implementation exists; exact SOW point incomplete</x:v>
      </x:c>
      <x:c r="P44" s="37" t="str">
        <x:v>Code credited independently of plan checkboxes. See What is done, What remains and repository evidence.</x:v>
      </x:c>
    </x:row>
    <x:row r="45" ht="72" hidden="0" customHeight="1">
      <x:c r="A45" s="40" t="n">
        <x:v>57</x:v>
      </x:c>
      <x:c r="B45" s="40" t="str">
        <x:v>Leave &amp; attendance</x:v>
      </x:c>
      <x:c r="C45" s="40" t="str">
        <x:v>holiday calendar configuration by location and department.</x:v>
      </x:c>
      <x:c r="D45" s="40" t="str">
        <x:v>Partial</x:v>
      </x:c>
      <x:c r="E45" s="40" t="str">
        <x:v>Location/global holidays CRUD and ESS calendar exist.</x:v>
      </x:c>
      <x:c r="F45" s="40" t="str">
        <x:v>Department-specific holiday configuration in the SOW is not represented by the inspected location-only contract. Resolve scope with HR.</x:v>
      </x:c>
      <x:c r="G45" s="40" t="str">
        <x:v>ATT-13</x:v>
      </x:c>
      <x:c r="H45" s="40" t="str">
        <x:v>1.2 / scope review</x:v>
      </x:c>
      <x:c r="I45" s="40" t="str">
        <x:v>backend/src/modules/attendance/attendance-config.router.ts; backend/src/modules/attendance/day-status.service.ts; docs/01-REQUIREMENTS-PRD.md</x:v>
      </x:c>
      <x:c r="J45" s="41" t="n">
        <x:v>1</x:v>
      </x:c>
      <x:c r="K45" s="41" t="n">
        <x:v>1</x:v>
      </x:c>
      <x:c r="L45" s="40"/>
      <x:c r="M45" s="42"/>
      <x:c r="N45" s="40"/>
      <x:c r="O45" s="40" t="str">
        <x:v>Supporting implementation exists; exact SOW point incomplete</x:v>
      </x:c>
      <x:c r="P45" s="40" t="str">
        <x:v>Code credited independently of plan checkboxes. See What is done, What remains and repository evidence.</x:v>
      </x:c>
    </x:row>
    <x:row r="46" ht="72" hidden="0" customHeight="1">
      <x:c r="A46" s="37" t="n">
        <x:v>58</x:v>
      </x:c>
      <x:c r="B46" s="37" t="str">
        <x:v>Leave &amp; attendance</x:v>
      </x:c>
      <x:c r="C46" s="37" t="str">
        <x:v>• leave request and approval workflows with multi-level authorizations.</x:v>
      </x:c>
      <x:c r="D46" s="37" t="str">
        <x:v>Implemented</x:v>
      </x:c>
      <x:c r="E46" s="37" t="str">
        <x:v>Leave apply/cancel, balance checks, multi-step approvals and ledger/attendance hooks exist.</x:v>
      </x:c>
      <x:c r="F46" s="37" t="str">
        <x:v>G1 HR/manager UAT and production notification delivery remain.</x:v>
      </x:c>
      <x:c r="G46" s="37" t="str">
        <x:v>LV-03/08, WF-01</x:v>
      </x:c>
      <x:c r="H46" s="37" t="str">
        <x:v>1.5</x:v>
      </x:c>
      <x:c r="I46" s="37" t="str">
        <x:v>backend/src/modules/leave/leave-apply.service.ts; backend/src/modules/leave/workflow-hooks.ts; backend/tests/stage15-leave.integration.test.ts; frontend/src/pages/leave/MyLeavePage.tsx</x:v>
      </x:c>
      <x:c r="J46" s="38" t="n">
        <x:v>1</x:v>
      </x:c>
      <x:c r="K46" s="38" t="n">
        <x:v>1</x:v>
      </x:c>
      <x:c r="L46" s="37"/>
      <x:c r="M46" s="39"/>
      <x:c r="N46" s="37"/>
      <x:c r="O46" s="37" t="str">
        <x:v>Capability implemented in reviewed code; acceptance pending</x:v>
      </x:c>
      <x:c r="P46" s="37" t="str">
        <x:v>Code credited independently of plan checkboxes. See What is done, What remains and repository evidence.</x:v>
      </x:c>
    </x:row>
    <x:row r="47" ht="72" hidden="0" customHeight="1">
      <x:c r="A47" s="40" t="n">
        <x:v>59</x:v>
      </x:c>
      <x:c r="B47" s="40" t="str">
        <x:v>Leave &amp; attendance</x:v>
      </x:c>
      <x:c r="C47" s="40" t="str">
        <x:v>Platform automated leave balance tracking and accruals.</x:v>
      </x:c>
      <x:c r="D47" s="40" t="str">
        <x:v>Implemented</x:v>
      </x:c>
      <x:c r="E47" s="40" t="str">
        <x:v>Immutable ledger balance and idempotent monthly accrual plus scheduler exist.</x:v>
      </x:c>
      <x:c r="F47" s="40" t="str">
        <x:v>Prove recurring production execution with real opening balances; policy settings and G1 acceptance remain.</x:v>
      </x:c>
      <x:c r="G47" s="40" t="str">
        <x:v>LV-02/05</x:v>
      </x:c>
      <x:c r="H47" s="40" t="str">
        <x:v>1.5</x:v>
      </x:c>
      <x:c r="I47" s="40" t="str">
        <x:v>backend/src/modules/leave/leave.router.ts; backend/src/modules/leave/leave-core.service.ts; backend/tests/stage15-leave.integration.test.ts; backend/src/jobs/worker.ts</x:v>
      </x:c>
      <x:c r="J47" s="41" t="n">
        <x:v>1</x:v>
      </x:c>
      <x:c r="K47" s="41" t="n">
        <x:v>1</x:v>
      </x:c>
      <x:c r="L47" s="40"/>
      <x:c r="M47" s="42"/>
      <x:c r="N47" s="40"/>
      <x:c r="O47" s="40" t="str">
        <x:v>Capability implemented in reviewed code; acceptance pending</x:v>
      </x:c>
      <x:c r="P47" s="40" t="str">
        <x:v>Code credited independently of plan checkboxes. See What is done, What remains and repository evidence.</x:v>
      </x:c>
    </x:row>
    <x:row r="48" ht="72" hidden="0" customHeight="1">
      <x:c r="A48" s="37" t="n">
        <x:v>60</x:v>
      </x:c>
      <x:c r="B48" s="37" t="str">
        <x:v>Leave &amp; attendance</x:v>
      </x:c>
      <x:c r="C48" s="37" t="str">
        <x:v>Leave encashment and carry-forward policies</x:v>
      </x:c>
      <x:c r="D48" s="37" t="str">
        <x:v>Partial</x:v>
      </x:c>
      <x:c r="E48" s="37" t="str">
        <x:v>Encashment workflow/debit and carry-forward function exist.</x:v>
      </x:c>
      <x:c r="F48" s="37" t="str">
        <x:v>Build encashment money payout/F&amp;F integration. Wire year-end carry-forward recurring execution; worker does not import that function.</x:v>
      </x:c>
      <x:c r="G48" s="37" t="str">
        <x:v>LV-06, PAY-15</x:v>
      </x:c>
      <x:c r="H48" s="37" t="str">
        <x:v>1.5 / 2 / 3.2</x:v>
      </x:c>
      <x:c r="I48" s="37" t="str">
        <x:v>backend/src/modules/leave/leave-apply.service.ts; backend/src/modules/leave/leave-core.service.ts; backend/src/jobs/worker.ts; plans/phase-2-payroll-statutory.md; backend/src/api/router.ts; frontend/src/pages/payroll/PayrollPage.tsx</x:v>
      </x:c>
      <x:c r="J48" s="38" t="n">
        <x:v>1</x:v>
      </x:c>
      <x:c r="K48" s="38" t="n">
        <x:v>1</x:v>
      </x:c>
      <x:c r="L48" s="37"/>
      <x:c r="M48" s="39"/>
      <x:c r="N48" s="37"/>
      <x:c r="O48" s="37" t="str">
        <x:v>Supporting implementation exists; exact SOW point incomplete</x:v>
      </x:c>
      <x:c r="P48" s="37" t="str">
        <x:v>Code credited independently of plan checkboxes. See What is done, What remains and repository evidence.</x:v>
      </x:c>
    </x:row>
    <x:row r="49" ht="72" hidden="0" customHeight="1">
      <x:c r="A49" s="40" t="n">
        <x:v>62</x:v>
      </x:c>
      <x:c r="B49" s="40" t="str">
        <x:v>Leave &amp; attendance</x:v>
      </x:c>
      <x:c r="C49" s="40" t="str">
        <x:v>• overtime tracking based on pre-approved policies.</x:v>
      </x:c>
      <x:c r="D49" s="40" t="str">
        <x:v>Partial</x:v>
      </x:c>
      <x:c r="E49" s="40" t="str">
        <x:v>Detected OT, policy thresholds, manager decision and lapse functions exist.</x:v>
      </x:c>
      <x:c r="F49" s="40" t="str">
        <x:v>Connect real swipes and real manager digest delivery; approve policy/rates and close G1.</x:v>
      </x:c>
      <x:c r="G49" s="40" t="str">
        <x:v>ATT-08</x:v>
      </x:c>
      <x:c r="H49" s="40" t="str">
        <x:v>1.4 / 1.7</x:v>
      </x:c>
      <x:c r="I49" s="40" t="str">
        <x:v>backend/src/modules/attendance/overtime.service.ts; backend/src/modules/notifications/notifications.service.ts; backend/src/jobs/worker.ts</x:v>
      </x:c>
      <x:c r="J49" s="41" t="n">
        <x:v>0.5</x:v>
      </x:c>
      <x:c r="K49" s="41" t="n">
        <x:v>0.5</x:v>
      </x:c>
      <x:c r="L49" s="40" t="str">
        <x:v>OT module implemented , automated application is not possible , manual done by Pro</x:v>
      </x:c>
      <x:c r="M49" s="42"/>
      <x:c r="N49" s="40"/>
      <x:c r="O49" s="40" t="str">
        <x:v>Supporting implementation exists; exact SOW point incomplete</x:v>
      </x:c>
      <x:c r="P49" s="40" t="str">
        <x:v>Code credited independently of plan checkboxes. See What is done, What remains and repository evidence.</x:v>
      </x:c>
    </x:row>
    <x:row r="50" ht="72" hidden="0" customHeight="1">
      <x:c r="A50" s="37" t="n">
        <x:v>63</x:v>
      </x:c>
      <x:c r="B50" s="37" t="str">
        <x:v>Leave &amp; attendance</x:v>
      </x:c>
      <x:c r="C50" s="37" t="str">
        <x:v>Platform auto-calculation of compensatory offs and extra working hours.</x:v>
      </x:c>
      <x:c r="D50" s="37" t="str">
        <x:v>Implemented</x:v>
      </x:c>
      <x:c r="E50" s="37" t="str">
        <x:v>OT minutes convert to half/full comp-off credits with expiry and no pay-plus-credit duplication.</x:v>
      </x:c>
      <x:c r="F50" s="37" t="str">
        <x:v>Real-feed policy acceptance and G1 UAT remain.</x:v>
      </x:c>
      <x:c r="G50" s="37" t="str">
        <x:v>LV-04, ATT-08</x:v>
      </x:c>
      <x:c r="H50" s="37" t="str">
        <x:v>1.4 / 1.5</x:v>
      </x:c>
      <x:c r="I50" s="37" t="str">
        <x:v>backend/src/modules/leave/leave.router.ts; backend/src/modules/leave/leave-core.service.ts; backend/tests/stage15-leave.integration.test.ts; backend/src/modules/attendance/overtime.service.ts</x:v>
      </x:c>
      <x:c r="J50" s="38" t="n">
        <x:v>1</x:v>
      </x:c>
      <x:c r="K50" s="38" t="n">
        <x:v>1</x:v>
      </x:c>
      <x:c r="L50" s="37"/>
      <x:c r="M50" s="39"/>
      <x:c r="N50" s="37"/>
      <x:c r="O50" s="37" t="str">
        <x:v>Capability implemented in reviewed code; acceptance pending</x:v>
      </x:c>
      <x:c r="P50" s="37" t="str">
        <x:v>Code credited independently of plan checkboxes. See What is done, What remains and repository evidence.</x:v>
      </x:c>
    </x:row>
    <x:row r="51" ht="72" hidden="0" customHeight="1">
      <x:c r="A51" s="40" t="n">
        <x:v>64</x:v>
      </x:c>
      <x:c r="B51" s="40" t="str">
        <x:v>Leave &amp; attendance</x:v>
      </x:c>
      <x:c r="C51" s="40" t="str">
        <x:v>approval workflows for overtime requests.</x:v>
      </x:c>
      <x:c r="D51" s="40" t="str">
        <x:v>Implemented</x:v>
      </x:c>
      <x:c r="E51" s="40" t="str">
        <x:v>OT approval/rejection/partial-minute decisions, manager UI and deadline lapse exist.</x:v>
      </x:c>
      <x:c r="F51" s="40" t="str">
        <x:v>Prove actual manager notification delivery and production decision timing.</x:v>
      </x:c>
      <x:c r="G51" s="40" t="str">
        <x:v>ATT-08, WF-01</x:v>
      </x:c>
      <x:c r="H51" s="40" t="str">
        <x:v>1.4</x:v>
      </x:c>
      <x:c r="I51" s="40" t="str">
        <x:v>backend/src/modules/attendance/overtime.service.ts; frontend/src/pages/team/OtDecisionsPage.tsx; backend/tests/stage14-requests-overtime.integration.test.ts</x:v>
      </x:c>
      <x:c r="J51" s="41" t="n">
        <x:v>1</x:v>
      </x:c>
      <x:c r="K51" s="41" t="n">
        <x:v>1</x:v>
      </x:c>
      <x:c r="L51" s="40"/>
      <x:c r="M51" s="42"/>
      <x:c r="N51" s="40"/>
      <x:c r="O51" s="40" t="str">
        <x:v>Capability implemented in reviewed code; acceptance pending</x:v>
      </x:c>
      <x:c r="P51" s="40" t="str">
        <x:v>Code credited independently of plan checkboxes. See What is done, What remains and repository evidence.</x:v>
      </x:c>
    </x:row>
    <x:row r="52" ht="72" hidden="0" customHeight="1">
      <x:c r="A52" s="37" t="n">
        <x:v>65</x:v>
      </x:c>
      <x:c r="B52" s="37" t="str">
        <x:v>Leave &amp; attendance</x:v>
      </x:c>
      <x:c r="C52" s="37" t="str">
        <x:v>integration with payroll for overtime</x:v>
      </x:c>
      <x:c r="D52" s="37" t="str">
        <x:v>Pending</x:v>
      </x:c>
      <x:c r="E52" s="37" t="str">
        <x:v>Approved OT exists on attendance side.</x:v>
      </x:c>
      <x:c r="F52" s="37" t="str">
        <x:v>Build OT wage calculation, payroll linkage, payout and overtime payslip. R5 payment linkage explicitly deferred.</x:v>
      </x:c>
      <x:c r="G52" s="37" t="str">
        <x:v>ATT-08, PAY-03/05</x:v>
      </x:c>
      <x:c r="H52" s="37" t="str">
        <x:v>2.2 / 2.4</x:v>
      </x:c>
      <x:c r="I52" s="37" t="str">
        <x:v>plans/phase-2-payroll-statutory.md; backend/src/api/router.ts; frontend/src/pages/payroll/PayrollPage.tsx; plans/phase-1-attendance-leave-workflows.md</x:v>
      </x:c>
      <x:c r="J52" s="38" t="n">
        <x:v>1</x:v>
      </x:c>
      <x:c r="K52" s="38" t="n">
        <x:v>1</x:v>
      </x:c>
      <x:c r="L52" s="37"/>
      <x:c r="M52" s="39"/>
      <x:c r="N52" s="37"/>
      <x:c r="O52" s="37" t="str">
        <x:v>Main SOW business flow absent; any scaffolding is listed in What is done</x:v>
      </x:c>
      <x:c r="P52" s="37" t="str">
        <x:v>No additional completed business flow found beyond What is done. Plan/scaffolding alone does not establish completion.</x:v>
      </x:c>
    </x:row>
    <x:row r="53" ht="72" hidden="0" customHeight="1">
      <x:c r="A53" s="40" t="n">
        <x:v>67</x:v>
      </x:c>
      <x:c r="B53" s="40" t="str">
        <x:v>Leave &amp; attendance</x:v>
      </x:c>
      <x:c r="C53" s="40" t="str">
        <x:v>enforcement of attendance policies (minimum working hours, grace period, break time tracking).</x:v>
      </x:c>
      <x:c r="D53" s="40" t="str">
        <x:v>Partial</x:v>
      </x:c>
      <x:c r="E53" s="40" t="str">
        <x:v>Configured working-hour/grace/break deduction and session/day computation exist.</x:v>
      </x:c>
      <x:c r="F53" s="40" t="str">
        <x:v>Confirm production session thresholds and break interpretation; reconcile real feed and watermark behavior. No per-break punch accounting is evidenced.</x:v>
      </x:c>
      <x:c r="G53" s="40" t="str">
        <x:v>ATT-05/18</x:v>
      </x:c>
      <x:c r="H53" s="40" t="str">
        <x:v>1.2 / G1</x:v>
      </x:c>
      <x:c r="I53" s="40" t="str">
        <x:v>backend/src/modules/attendance/attendance-config.router.ts; backend/src/modules/attendance/day-status.service.ts; docs/recon/greythr-attendance-and-access-2026-10-07.md</x:v>
      </x:c>
      <x:c r="J53" s="41" t="n">
        <x:v>1</x:v>
      </x:c>
      <x:c r="K53" s="41" t="n">
        <x:v>1</x:v>
      </x:c>
      <x:c r="L53" s="40"/>
      <x:c r="M53" s="42"/>
      <x:c r="N53" s="40"/>
      <x:c r="O53" s="40" t="str">
        <x:v>Supporting implementation exists; exact SOW point incomplete</x:v>
      </x:c>
      <x:c r="P53" s="40" t="str">
        <x:v>Code credited independently of plan checkboxes. See What is done, What remains and repository evidence.</x:v>
      </x:c>
    </x:row>
    <x:row r="54" ht="72" hidden="0" customHeight="1">
      <x:c r="A54" s="37" t="n">
        <x:v>68</x:v>
      </x:c>
      <x:c r="B54" s="37" t="str">
        <x:v>Leave &amp; attendance</x:v>
      </x:c>
      <x:c r="C54" s="37" t="str">
        <x:v>Platform automated deductions and penalties for attendance violations.</x:v>
      </x:c>
      <x:c r="D54" s="37" t="str">
        <x:v>Pending</x:v>
      </x:c>
      <x:c r="E54" s="37" t="str">
        <x:v>Late/early minutes, absence and week-off eligibility are computed.</x:v>
      </x:c>
      <x:c r="F54" s="37" t="str">
        <x:v>Define signed penalty-to-pay policy and implement payroll deductions; metrics alone do not deduct salary.</x:v>
      </x:c>
      <x:c r="G54" s="37" t="str">
        <x:v>ATT-05/09, PAY-03/04</x:v>
      </x:c>
      <x:c r="H54" s="37" t="str">
        <x:v>2.2 / P0-T06</x:v>
      </x:c>
      <x:c r="I54" s="37" t="str">
        <x:v>backend/src/modules/attendance/attendance-config.router.ts; backend/src/modules/attendance/day-status.service.ts; plans/phase-2-payroll-statutory.md; backend/src/api/router.ts; frontend/src/pages/payroll/PayrollPage.tsx</x:v>
      </x:c>
      <x:c r="J54" s="38" t="n">
        <x:v>1</x:v>
      </x:c>
      <x:c r="K54" s="38" t="n">
        <x:v>1</x:v>
      </x:c>
      <x:c r="L54" s="37"/>
      <x:c r="M54" s="39"/>
      <x:c r="N54" s="37"/>
      <x:c r="O54" s="37" t="str">
        <x:v>Main SOW business flow absent; any scaffolding is listed in What is done</x:v>
      </x:c>
      <x:c r="P54" s="37" t="str">
        <x:v>No additional completed business flow found beyond What is done. Plan/scaffolding alone does not establish completion.</x:v>
      </x:c>
    </x:row>
    <x:row r="55" ht="72" hidden="0" customHeight="1">
      <x:c r="A55" s="40" t="n">
        <x:v>69</x:v>
      </x:c>
      <x:c r="B55" s="40" t="str">
        <x:v>Leave &amp; attendance</x:v>
      </x:c>
      <x:c r="C55" s="40" t="str">
        <x:v>Preparation of reports and dashboards for HR and management monitoring.</x:v>
      </x:c>
      <x:c r="D55" s="40" t="str">
        <x:v>Partial</x:v>
      </x:c>
      <x:c r="E55" s="40" t="str">
        <x:v>Muster, attendance reports, HR/BU views and employee leave balances exist.</x:v>
      </x:c>
      <x:c r="F55" s="40" t="str">
        <x:v>Finish permission-scoped company leave register/dashboard; complete cost KPIs and accepted production data. RML source score is blank.</x:v>
      </x:c>
      <x:c r="G55" s="40" t="str">
        <x:v>RPT-01/04/06, LV-07</x:v>
      </x:c>
      <x:c r="H55" s="40" t="str">
        <x:v>1.7 / 3.5</x:v>
      </x:c>
      <x:c r="I55" s="40" t="str">
        <x:v>frontend/src/pages/leave/LeaveAdminPage.tsx; backend/src/modules/reports/dashboard.service.ts; plans/phase-1-attendance-leave-workflows.md</x:v>
      </x:c>
      <x:c r="J55" s="41" t="n">
        <x:v>0</x:v>
      </x:c>
      <x:c r="K55" s="41"/>
      <x:c r="L55" s="40" t="str">
        <x:v>only leave dash board NA</x:v>
      </x:c>
      <x:c r="M55" s="42"/>
      <x:c r="N55" s="40"/>
      <x:c r="O55" s="40" t="str">
        <x:v>Supporting implementation exists; exact SOW point incomplete</x:v>
      </x:c>
      <x:c r="P55" s="40" t="str">
        <x:v>Code credited independently of plan checkboxes. See What is done, What remains and repository evidence.</x:v>
      </x:c>
    </x:row>
    <x:row r="56" ht="72" hidden="0" customHeight="1">
      <x:c r="A56" s="37" t="n">
        <x:v>72</x:v>
      </x:c>
      <x:c r="B56" s="37" t="str">
        <x:v>Payroll &amp; compliance</x:v>
      </x:c>
      <x:c r="C56" s="37" t="str">
        <x:v>Payroll Inputs Collection &amp; Validation: Protiviti manages payroll inputs (new joiners, salary revisions, variable pay, deductions, loss of pay, etc.) in a predefined format.</x:v>
      </x:c>
      <x:c r="D56" s="37" t="str">
        <x:v>Pending</x:v>
      </x:c>
      <x:c r="E56" s="37" t="str">
        <x:v>Attendance/reporting/workflow spine and payroll UI shell exist.</x:v>
      </x:c>
      <x:c r="F56" s="37" t="str">
        <x:v>Build row-specific payroll inputs, declaration tax calculation, compute/review/finalize, output files/registers or OT pay. No end-to-end payroll engine is registered.</x:v>
      </x:c>
      <x:c r="G56" s="37" t="str">
        <x:v>PAY-03/04/05/06/09..13</x:v>
      </x:c>
      <x:c r="H56" s="37" t="str">
        <x:v>2.1–2.6</x:v>
      </x:c>
      <x:c r="I56" s="37" t="str">
        <x:v>plans/phase-2-payroll-statutory.md; backend/src/api/router.ts; frontend/src/pages/payroll/PayrollPage.tsx</x:v>
      </x:c>
      <x:c r="J56" s="38" t="n">
        <x:v>1</x:v>
      </x:c>
      <x:c r="K56" s="38" t="n">
        <x:v>1</x:v>
      </x:c>
      <x:c r="L56" s="37"/>
      <x:c r="M56" s="39"/>
      <x:c r="N56" s="37"/>
      <x:c r="O56" s="37" t="str">
        <x:v>Main SOW business flow absent; any scaffolding is listed in What is done</x:v>
      </x:c>
      <x:c r="P56" s="37" t="str">
        <x:v>No additional completed business flow found beyond What is done. Plan/scaffolding alone does not establish completion.</x:v>
      </x:c>
    </x:row>
    <x:row r="57" ht="72" hidden="0" customHeight="1">
      <x:c r="A57" s="40" t="n">
        <x:v>73</x:v>
      </x:c>
      <x:c r="B57" s="40" t="str">
        <x:v>Payroll &amp; compliance</x:v>
      </x:c>
      <x:c r="C57" s="40" t="str">
        <x:v>Investment &amp; flexi declarations: Tax computation based on employee declarations via ESS portal</x:v>
      </x:c>
      <x:c r="D57" s="40" t="str">
        <x:v>Pending</x:v>
      </x:c>
      <x:c r="E57" s="40" t="str">
        <x:v>Attendance/reporting/workflow spine and payroll UI shell exist.</x:v>
      </x:c>
      <x:c r="F57" s="40" t="str">
        <x:v>Build row-specific payroll inputs, declaration tax calculation, compute/review/finalize, output files/registers or OT pay. No end-to-end payroll engine is registered.</x:v>
      </x:c>
      <x:c r="G57" s="40" t="str">
        <x:v>PAY-03/04/05/06/09..13</x:v>
      </x:c>
      <x:c r="H57" s="40" t="str">
        <x:v>2.1–2.6</x:v>
      </x:c>
      <x:c r="I57" s="40" t="str">
        <x:v>plans/phase-2-payroll-statutory.md; backend/src/api/router.ts; frontend/src/pages/payroll/PayrollPage.tsx</x:v>
      </x:c>
      <x:c r="J57" s="41" t="n">
        <x:v>1</x:v>
      </x:c>
      <x:c r="K57" s="41" t="n">
        <x:v>1</x:v>
      </x:c>
      <x:c r="L57" s="40"/>
      <x:c r="M57" s="42"/>
      <x:c r="N57" s="40"/>
      <x:c r="O57" s="40" t="str">
        <x:v>Main SOW business flow absent; any scaffolding is listed in What is done</x:v>
      </x:c>
      <x:c r="P57" s="40" t="str">
        <x:v>No additional completed business flow found beyond What is done. Plan/scaffolding alone does not establish completion.</x:v>
      </x:c>
    </x:row>
    <x:row r="58" ht="72" hidden="0" customHeight="1">
      <x:c r="A58" s="37" t="n">
        <x:v>74</x:v>
      </x:c>
      <x:c r="B58" s="37" t="str">
        <x:v>Payroll &amp; compliance</x:v>
      </x:c>
      <x:c r="C58" s="37" t="str">
        <x:v>• Payroll processing &amp; review:
 o Salary calculations with deductions and allowances.
 o Draft payroll reports for approval.
 o Final payroll processing after client confirmation</x:v>
      </x:c>
      <x:c r="D58" s="37" t="str">
        <x:v>Pending</x:v>
      </x:c>
      <x:c r="E58" s="37" t="str">
        <x:v>Attendance/reporting/workflow spine and payroll UI shell exist.</x:v>
      </x:c>
      <x:c r="F58" s="37" t="str">
        <x:v>Build row-specific payroll inputs, declaration tax calculation, compute/review/finalize, output files/registers or OT pay. No end-to-end payroll engine is registered.</x:v>
      </x:c>
      <x:c r="G58" s="37" t="str">
        <x:v>PAY-03/04/05/06/09..13</x:v>
      </x:c>
      <x:c r="H58" s="37" t="str">
        <x:v>2.1–2.6</x:v>
      </x:c>
      <x:c r="I58" s="37" t="str">
        <x:v>plans/phase-2-payroll-statutory.md; backend/src/api/router.ts; frontend/src/pages/payroll/PayrollPage.tsx</x:v>
      </x:c>
      <x:c r="J58" s="38" t="n">
        <x:v>1</x:v>
      </x:c>
      <x:c r="K58" s="38" t="n">
        <x:v>1</x:v>
      </x:c>
      <x:c r="L58" s="37"/>
      <x:c r="M58" s="39"/>
      <x:c r="N58" s="37"/>
      <x:c r="O58" s="37" t="str">
        <x:v>Main SOW business flow absent; any scaffolding is listed in What is done</x:v>
      </x:c>
      <x:c r="P58" s="37" t="str">
        <x:v>No additional completed business flow found beyond What is done. Plan/scaffolding alone does not establish completion.</x:v>
      </x:c>
    </x:row>
    <x:row r="59" ht="100" hidden="0" customHeight="1">
      <x:c r="A59" s="40" t="n">
        <x:v>75</x:v>
      </x:c>
      <x:c r="B59" s="40" t="str">
        <x:v>Payroll &amp; compliance</x:v>
      </x:c>
      <x:c r="C59" s="40" t="str">
        <x:v>Performing Payroll deliverables:
 o Final Pay Register.
 o Bank Transfer File.
 o Journal Voucher Report.
 o Payslip &amp; Tax computation slip via ESS.
 o Reimbursement &amp; variance reports.</x:v>
      </x:c>
      <x:c r="D59" s="40" t="str">
        <x:v>Pending</x:v>
      </x:c>
      <x:c r="E59" s="40" t="str">
        <x:v>Attendance/reporting/workflow spine and payroll UI shell exist.</x:v>
      </x:c>
      <x:c r="F59" s="40" t="str">
        <x:v>Build row-specific payroll inputs, declaration tax calculation, compute/review/finalize, output files/registers or OT pay. No end-to-end payroll engine is registered.</x:v>
      </x:c>
      <x:c r="G59" s="40" t="str">
        <x:v>PAY-03/04/05/06/09..13</x:v>
      </x:c>
      <x:c r="H59" s="40" t="str">
        <x:v>2.1–2.6</x:v>
      </x:c>
      <x:c r="I59" s="40" t="str">
        <x:v>plans/phase-2-payroll-statutory.md; backend/src/api/router.ts; frontend/src/pages/payroll/PayrollPage.tsx</x:v>
      </x:c>
      <x:c r="J59" s="41" t="n">
        <x:v>1</x:v>
      </x:c>
      <x:c r="K59" s="41" t="n">
        <x:v>1</x:v>
      </x:c>
      <x:c r="L59" s="40" t="str">
        <x:v>Working day logic corrected as per RML which will reflected from Aug payroll</x:v>
      </x:c>
      <x:c r="M59" s="42"/>
      <x:c r="N59" s="40"/>
      <x:c r="O59" s="40" t="str">
        <x:v>Main SOW business flow absent; any scaffolding is listed in What is done</x:v>
      </x:c>
      <x:c r="P59" s="40" t="str">
        <x:v>No additional completed business flow found beyond What is done. Plan/scaffolding alone does not establish completion.</x:v>
      </x:c>
    </x:row>
    <x:row r="60" ht="85" hidden="0" customHeight="1">
      <x:c r="A60" s="37" t="n">
        <x:v>76</x:v>
      </x:c>
      <x:c r="B60" s="37" t="str">
        <x:v>Payroll &amp; compliance</x:v>
      </x:c>
      <x:c r="C60" s="37" t="str">
        <x:v>Preparation of standard &amp; customized Reports:
 o Standard: TDS report, PF report, PT report, ESIC report, LWF report, Variance report, CTC report.
 o Customized: Cost Centre, Location, Department-wise reports.</x:v>
      </x:c>
      <x:c r="D60" s="37" t="str">
        <x:v>Pending</x:v>
      </x:c>
      <x:c r="E60" s="37" t="str">
        <x:v>Attendance/reporting/workflow spine and payroll UI shell exist.</x:v>
      </x:c>
      <x:c r="F60" s="37" t="str">
        <x:v>Build row-specific payroll inputs, declaration tax calculation, compute/review/finalize, output files/registers or OT pay. No end-to-end payroll engine is registered.</x:v>
      </x:c>
      <x:c r="G60" s="37" t="str">
        <x:v>PAY-03/04/05/06/09..13</x:v>
      </x:c>
      <x:c r="H60" s="37" t="str">
        <x:v>2.1–2.6</x:v>
      </x:c>
      <x:c r="I60" s="37" t="str">
        <x:v>plans/phase-2-payroll-statutory.md; backend/src/api/router.ts; frontend/src/pages/payroll/PayrollPage.tsx</x:v>
      </x:c>
      <x:c r="J60" s="38" t="n">
        <x:v>1</x:v>
      </x:c>
      <x:c r="K60" s="38" t="n">
        <x:v>1</x:v>
      </x:c>
      <x:c r="L60" s="37"/>
      <x:c r="M60" s="39"/>
      <x:c r="N60" s="37"/>
      <x:c r="O60" s="37" t="str">
        <x:v>Main SOW business flow absent; any scaffolding is listed in What is done</x:v>
      </x:c>
      <x:c r="P60" s="37" t="str">
        <x:v>No additional completed business flow found beyond What is done. Plan/scaffolding alone does not establish completion.</x:v>
      </x:c>
    </x:row>
    <x:row r="61" ht="72" hidden="0" customHeight="1">
      <x:c r="A61" s="40" t="n">
        <x:v>77</x:v>
      </x:c>
      <x:c r="B61" s="40" t="str">
        <x:v>Payroll &amp; compliance</x:v>
      </x:c>
      <x:c r="C61" s="40" t="str">
        <x:v>• Calculation of OT(Over Time) charges and cross verifying with the attendance system and validate the OT charge</x:v>
      </x:c>
      <x:c r="D61" s="40" t="str">
        <x:v>Pending</x:v>
      </x:c>
      <x:c r="E61" s="40" t="str">
        <x:v>Attendance/reporting/workflow spine and payroll UI shell exist.</x:v>
      </x:c>
      <x:c r="F61" s="40" t="str">
        <x:v>Build row-specific payroll inputs, declaration tax calculation, compute/review/finalize, output files/registers or OT pay. No end-to-end payroll engine is registered.</x:v>
      </x:c>
      <x:c r="G61" s="40" t="str">
        <x:v>PAY-03/04/05/06/09..13</x:v>
      </x:c>
      <x:c r="H61" s="40" t="str">
        <x:v>2.1–2.6</x:v>
      </x:c>
      <x:c r="I61" s="40" t="str">
        <x:v>plans/phase-2-payroll-statutory.md; backend/src/api/router.ts; frontend/src/pages/payroll/PayrollPage.tsx</x:v>
      </x:c>
      <x:c r="J61" s="41" t="n">
        <x:v>1</x:v>
      </x:c>
      <x:c r="K61" s="41" t="n">
        <x:v>1</x:v>
      </x:c>
      <x:c r="L61" s="40"/>
      <x:c r="M61" s="42"/>
      <x:c r="N61" s="40"/>
      <x:c r="O61" s="40" t="str">
        <x:v>Main SOW business flow absent; any scaffolding is listed in What is done</x:v>
      </x:c>
      <x:c r="P61" s="40" t="str">
        <x:v>No additional completed business flow found beyond What is done. Plan/scaffolding alone does not establish completion.</x:v>
      </x:c>
    </x:row>
    <x:row r="62" ht="85" hidden="0" customHeight="1">
      <x:c r="A62" s="37" t="n">
        <x:v>78</x:v>
      </x:c>
      <x:c r="B62" s="37" t="str">
        <x:v>Payroll &amp; compliance</x:v>
      </x:c>
      <x:c r="C62" s="37" t="str">
        <x:v>• Protiviti should Handle the payroll Queries</x:v>
      </x:c>
      <x:c r="D62" s="37" t="str">
        <x:v>Partial</x:v>
      </x:c>
      <x:c r="E62" s="37" t="str">
        <x:v>Generic helpdesk ticket raise/queue/reply exists.</x:v>
      </x:c>
      <x:c r="F62" s="37" t="str">
        <x:v>Staff payroll support and connect queries to actual payroll data. Vendor query-resolution service completion cannot be inferred from code.</x:v>
      </x:c>
      <x:c r="G62" s="37" t="str">
        <x:v>HD-01</x:v>
      </x:c>
      <x:c r="H62" s="37" t="str">
        <x:v>3.4 / 2</x:v>
      </x:c>
      <x:c r="I62" s="37" t="str">
        <x:v>backend/src/modules/helpdesk/helpdesk.router.ts; backend/src/modules/helpdesk/helpdesk.service.ts; backend/tests/helpdesk.integration.test.ts; frontend/src/pages/workplace/HelpdeskPage.tsx; plans/phase-2-payroll-statutory.md; backend/src/api/router.ts; frontend/src/pages/payroll/PayrollPage.tsx</x:v>
      </x:c>
      <x:c r="J62" s="38" t="n">
        <x:v>1</x:v>
      </x:c>
      <x:c r="K62" s="38" t="n">
        <x:v>1</x:v>
      </x:c>
      <x:c r="L62" s="37"/>
      <x:c r="M62" s="39"/>
      <x:c r="N62" s="37"/>
      <x:c r="O62" s="37" t="str">
        <x:v>Supporting implementation exists; exact SOW point incomplete</x:v>
      </x:c>
      <x:c r="P62" s="37" t="str">
        <x:v>Code credited independently of plan checkboxes. See What is done, What remains and repository evidence.</x:v>
      </x:c>
    </x:row>
    <x:row r="63" ht="72" hidden="0" customHeight="1">
      <x:c r="A63" s="40" t="n">
        <x:v>79</x:v>
      </x:c>
      <x:c r="B63" s="40" t="str">
        <x:v>Payroll &amp; compliance</x:v>
      </x:c>
      <x:c r="C63" s="40" t="str">
        <x:v>Protiviti should Validate attendance by verifying data or biometric records</x:v>
      </x:c>
      <x:c r="D63" s="40" t="str">
        <x:v>Partial</x:v>
      </x:c>
      <x:c r="E63" s="40" t="str">
        <x:v>Raw-swipe drilldown and reconciliation report exist.</x:v>
      </x:c>
      <x:c r="F63" s="40" t="str">
        <x:v>Replace simulated Kent feed and perform real pre-payroll attendance reconciliation/sign-off.</x:v>
      </x:c>
      <x:c r="G63" s="40" t="str">
        <x:v>ATT-01/02/03, PAY-03</x:v>
      </x:c>
      <x:c r="H63" s="40" t="str">
        <x:v>G1 / 2.2</x:v>
      </x:c>
      <x:c r="I63" s="40" t="str">
        <x:v>backend/src/modules/reports/reports.service.ts; backend/src/modules/attendance/kent-sync.job.ts; plans/phase-1-attendance-leave-workflows.md</x:v>
      </x:c>
      <x:c r="J63" s="41" t="n">
        <x:v>1</x:v>
      </x:c>
      <x:c r="K63" s="41" t="n">
        <x:v>1</x:v>
      </x:c>
      <x:c r="L63" s="40"/>
      <x:c r="M63" s="42"/>
      <x:c r="N63" s="40"/>
      <x:c r="O63" s="40" t="str">
        <x:v>Supporting implementation exists; exact SOW point incomplete</x:v>
      </x:c>
      <x:c r="P63" s="40" t="str">
        <x:v>Code credited independently of plan checkboxes. See What is done, What remains and repository evidence.</x:v>
      </x:c>
    </x:row>
    <x:row r="64" ht="72" hidden="0" customHeight="1">
      <x:c r="A64" s="37" t="n">
        <x:v>81</x:v>
      </x:c>
      <x:c r="B64" s="37" t="str">
        <x:v>Payroll &amp; compliance</x:v>
      </x:c>
      <x:c r="C64" s="37" t="str">
        <x:v>• The Protiviti should handle the end-to-end payroll process, from collecting inputs to preparing the final register</x:v>
      </x:c>
      <x:c r="D64" s="37" t="str">
        <x:v>Pending</x:v>
      </x:c>
      <x:c r="E64" s="37" t="str">
        <x:v>Attendance/reporting/workflow spine and payroll UI shell exist.</x:v>
      </x:c>
      <x:c r="F64" s="37" t="str">
        <x:v>Build row-specific payroll inputs, declaration tax calculation, compute/review/finalize, output files/registers or OT pay. No end-to-end payroll engine is registered.</x:v>
      </x:c>
      <x:c r="G64" s="37" t="str">
        <x:v>PAY-03/04/05/06/09..13</x:v>
      </x:c>
      <x:c r="H64" s="37" t="str">
        <x:v>2.1–2.6</x:v>
      </x:c>
      <x:c r="I64" s="37" t="str">
        <x:v>plans/phase-2-payroll-statutory.md; backend/src/api/router.ts; frontend/src/pages/payroll/PayrollPage.tsx</x:v>
      </x:c>
      <x:c r="J64" s="38" t="n">
        <x:v>1</x:v>
      </x:c>
      <x:c r="K64" s="38" t="n">
        <x:v>1</x:v>
      </x:c>
      <x:c r="L64" s="37"/>
      <x:c r="M64" s="39"/>
      <x:c r="N64" s="37"/>
      <x:c r="O64" s="37" t="str">
        <x:v>Main SOW business flow absent; any scaffolding is listed in What is done</x:v>
      </x:c>
      <x:c r="P64" s="37" t="str">
        <x:v>No additional completed business flow found beyond What is done. Plan/scaffolding alone does not establish completion.</x:v>
      </x:c>
    </x:row>
    <x:row r="65" ht="72" hidden="0" customHeight="1">
      <x:c r="A65" s="40" t="n">
        <x:v>82</x:v>
      </x:c>
      <x:c r="B65" s="40" t="str">
        <x:v>Payroll &amp; compliance</x:v>
      </x:c>
      <x:c r="C65" s="40" t="str">
        <x:v>Effective date of salary revision.</x:v>
      </x:c>
      <x:c r="D65" s="40" t="str">
        <x:v>Pending</x:v>
      </x:c>
      <x:c r="E65" s="40" t="str">
        <x:v>Salary history is specified only.</x:v>
      </x:c>
      <x:c r="F65" s="40" t="str">
        <x:v>Build effective-dated revisions, overlap constraint and retro delta computation.</x:v>
      </x:c>
      <x:c r="G65" s="40" t="str">
        <x:v>PAY-16, PAY-01</x:v>
      </x:c>
      <x:c r="H65" s="40" t="str">
        <x:v>2.1 / 2.2</x:v>
      </x:c>
      <x:c r="I65" s="40" t="str">
        <x:v>plans/phase-2-payroll-statutory.md; backend/src/api/router.ts; frontend/src/pages/payroll/PayrollPage.tsx</x:v>
      </x:c>
      <x:c r="J65" s="41" t="n">
        <x:v>1</x:v>
      </x:c>
      <x:c r="K65" s="41" t="n">
        <x:v>1</x:v>
      </x:c>
      <x:c r="L65" s="40"/>
      <x:c r="M65" s="42"/>
      <x:c r="N65" s="40"/>
      <x:c r="O65" s="40" t="str">
        <x:v>Main SOW business flow absent; any scaffolding is listed in What is done</x:v>
      </x:c>
      <x:c r="P65" s="40" t="str">
        <x:v>No additional completed business flow found beyond What is done. Plan/scaffolding alone does not establish completion.</x:v>
      </x:c>
    </x:row>
    <x:row r="66" ht="85" hidden="0" customHeight="1">
      <x:c r="A66" s="37" t="n">
        <x:v>83</x:v>
      </x:c>
      <x:c r="B66" s="37" t="str">
        <x:v>Payroll &amp; compliance</x:v>
      </x:c>
      <x:c r="C66" s="37" t="str">
        <x:v>Duplication of Employee Code / Number / ID.</x:v>
      </x:c>
      <x:c r="D66" s="37" t="str">
        <x:v>Implemented</x:v>
      </x:c>
      <x:c r="E66" s="37" t="str">
        <x:v>Unique employee ecode, atomic per-company generator and series-checked imports exist.</x:v>
      </x:c>
      <x:c r="F66" s="37" t="str">
        <x:v>Real-source reconciliation and HR review of rejected/duplicate rows remain.</x:v>
      </x:c>
      <x:c r="G66" s="37" t="str">
        <x:v>CORE-02/08</x:v>
      </x:c>
      <x:c r="H66" s="37" t="str">
        <x:v>0.5</x:v>
      </x:c>
      <x:c r="I66" s="37" t="str">
        <x:v>backend/migrations/1751810000000_org-employees.ts; backend/src/modules/employees/employees.router.ts; backend/src/modules/employees/import.service.ts; backend/src/modules/employees/import.schemas.ts; plans/phase-0-foundations.md; backend/tests/employee-import.integration.test.ts</x:v>
      </x:c>
      <x:c r="J66" s="38" t="n">
        <x:v>1</x:v>
      </x:c>
      <x:c r="K66" s="38" t="n">
        <x:v>1</x:v>
      </x:c>
      <x:c r="L66" s="37"/>
      <x:c r="M66" s="39"/>
      <x:c r="N66" s="37"/>
      <x:c r="O66" s="37" t="str">
        <x:v>Capability implemented in reviewed code; acceptance pending</x:v>
      </x:c>
      <x:c r="P66" s="37" t="str">
        <x:v>Code credited independently of plan checkboxes. See What is done, What remains and repository evidence.</x:v>
      </x:c>
    </x:row>
    <x:row r="67" ht="72" hidden="0" customHeight="1">
      <x:c r="A67" s="40" t="n">
        <x:v>84</x:v>
      </x:c>
      <x:c r="B67" s="40" t="str">
        <x:v>Payroll &amp; compliance</x:v>
      </x:c>
      <x:c r="C67" s="40" t="str">
        <x:v>Whether any employees are minor based on the date of birth.</x:v>
      </x:c>
      <x:c r="D67" s="40" t="str">
        <x:v>Pending</x:v>
      </x:c>
      <x:c r="E67" s="40" t="str">
        <x:v>DOB and statutory/bank strings can be stored; identifiers are permission-masked on reads.</x:v>
      </x:c>
      <x:c r="F67" s="40" t="str">
        <x:v>Implement the exact row validation (minor DOB, bank length, IFSC/PAN/Aadhaar format/checksum, duplicate ESIC). Import schema accepts raw strings; source migration lacks these CHECK/UNIQUE rules.</x:v>
      </x:c>
      <x:c r="G67" s="40" t="str">
        <x:v>CORE-07/08</x:v>
      </x:c>
      <x:c r="H67" s="40" t="str">
        <x:v>0.5 / before 2</x:v>
      </x:c>
      <x:c r="I67" s="40" t="str">
        <x:v>backend/migrations/1751810000000_org-employees.ts; backend/src/modules/employees/employees.router.ts; backend/src/modules/employees/import.schemas.ts</x:v>
      </x:c>
      <x:c r="J67" s="41" t="n">
        <x:v>1</x:v>
      </x:c>
      <x:c r="K67" s="41" t="n">
        <x:v>1</x:v>
      </x:c>
      <x:c r="L67" s="40"/>
      <x:c r="M67" s="42"/>
      <x:c r="N67" s="40"/>
      <x:c r="O67" s="40" t="str">
        <x:v>Main SOW business flow absent; any scaffolding is listed in What is done</x:v>
      </x:c>
      <x:c r="P67" s="40" t="str">
        <x:v>No additional completed business flow found beyond What is done. Plan/scaffolding alone does not establish completion.</x:v>
      </x:c>
    </x:row>
    <x:row r="68" ht="72" hidden="0" customHeight="1">
      <x:c r="A68" s="37" t="n">
        <x:v>85</x:v>
      </x:c>
      <x:c r="B68" s="37" t="str">
        <x:v>Payroll &amp; compliance</x:v>
      </x:c>
      <x:c r="C68" s="37" t="str">
        <x:v>Length of bank account.</x:v>
      </x:c>
      <x:c r="D68" s="37" t="str">
        <x:v>Pending</x:v>
      </x:c>
      <x:c r="E68" s="37" t="str">
        <x:v>DOB and statutory/bank strings can be stored; identifiers are permission-masked on reads.</x:v>
      </x:c>
      <x:c r="F68" s="37" t="str">
        <x:v>Implement the exact row validation (minor DOB, bank length, IFSC/PAN/Aadhaar format/checksum, duplicate ESIC). Import schema accepts raw strings; source migration lacks these CHECK/UNIQUE rules.</x:v>
      </x:c>
      <x:c r="G68" s="37" t="str">
        <x:v>CORE-07/08</x:v>
      </x:c>
      <x:c r="H68" s="37" t="str">
        <x:v>0.5 / before 2</x:v>
      </x:c>
      <x:c r="I68" s="37" t="str">
        <x:v>backend/migrations/1751810000000_org-employees.ts; backend/src/modules/employees/employees.router.ts; backend/src/modules/employees/import.schemas.ts</x:v>
      </x:c>
      <x:c r="J68" s="38" t="n">
        <x:v>1</x:v>
      </x:c>
      <x:c r="K68" s="38" t="n">
        <x:v>1</x:v>
      </x:c>
      <x:c r="L68" s="37"/>
      <x:c r="M68" s="39"/>
      <x:c r="N68" s="37"/>
      <x:c r="O68" s="37" t="str">
        <x:v>Main SOW business flow absent; any scaffolding is listed in What is done</x:v>
      </x:c>
      <x:c r="P68" s="37" t="str">
        <x:v>No additional completed business flow found beyond What is done. Plan/scaffolding alone does not establish completion.</x:v>
      </x:c>
    </x:row>
    <x:row r="69" ht="72" hidden="0" customHeight="1">
      <x:c r="A69" s="40" t="n">
        <x:v>86</x:v>
      </x:c>
      <x:c r="B69" s="40" t="str">
        <x:v>Payroll &amp; compliance</x:v>
      </x:c>
      <x:c r="C69" s="40" t="str">
        <x:v>IFSC code.</x:v>
      </x:c>
      <x:c r="D69" s="40" t="str">
        <x:v>Pending</x:v>
      </x:c>
      <x:c r="E69" s="40" t="str">
        <x:v>DOB and statutory/bank strings can be stored; identifiers are permission-masked on reads.</x:v>
      </x:c>
      <x:c r="F69" s="40" t="str">
        <x:v>Implement the exact row validation (minor DOB, bank length, IFSC/PAN/Aadhaar format/checksum, duplicate ESIC). Import schema accepts raw strings; source migration lacks these CHECK/UNIQUE rules.</x:v>
      </x:c>
      <x:c r="G69" s="40" t="str">
        <x:v>CORE-07/08</x:v>
      </x:c>
      <x:c r="H69" s="40" t="str">
        <x:v>0.5 / before 2</x:v>
      </x:c>
      <x:c r="I69" s="40" t="str">
        <x:v>backend/migrations/1751810000000_org-employees.ts; backend/src/modules/employees/employees.router.ts; backend/src/modules/employees/import.schemas.ts</x:v>
      </x:c>
      <x:c r="J69" s="41" t="n">
        <x:v>1</x:v>
      </x:c>
      <x:c r="K69" s="41" t="n">
        <x:v>1</x:v>
      </x:c>
      <x:c r="L69" s="40"/>
      <x:c r="M69" s="42"/>
      <x:c r="N69" s="40"/>
      <x:c r="O69" s="40" t="str">
        <x:v>Main SOW business flow absent; any scaffolding is listed in What is done</x:v>
      </x:c>
      <x:c r="P69" s="40" t="str">
        <x:v>No additional completed business flow found beyond What is done. Plan/scaffolding alone does not establish completion.</x:v>
      </x:c>
    </x:row>
    <x:row r="70" ht="72" hidden="0" customHeight="1">
      <x:c r="A70" s="37" t="n">
        <x:v>87</x:v>
      </x:c>
      <x:c r="B70" s="37" t="str">
        <x:v>Payroll &amp; compliance</x:v>
      </x:c>
      <x:c r="C70" s="37" t="str">
        <x:v>Permanent Account Number (PAN).</x:v>
      </x:c>
      <x:c r="D70" s="37" t="str">
        <x:v>Pending</x:v>
      </x:c>
      <x:c r="E70" s="37" t="str">
        <x:v>DOB and statutory/bank strings can be stored; identifiers are permission-masked on reads.</x:v>
      </x:c>
      <x:c r="F70" s="37" t="str">
        <x:v>Implement the exact row validation (minor DOB, bank length, IFSC/PAN/Aadhaar format/checksum, duplicate ESIC). Import schema accepts raw strings; source migration lacks these CHECK/UNIQUE rules.</x:v>
      </x:c>
      <x:c r="G70" s="37" t="str">
        <x:v>CORE-07/08</x:v>
      </x:c>
      <x:c r="H70" s="37" t="str">
        <x:v>0.5 / before 2</x:v>
      </x:c>
      <x:c r="I70" s="37" t="str">
        <x:v>backend/migrations/1751810000000_org-employees.ts; backend/src/modules/employees/employees.router.ts; backend/src/modules/employees/import.schemas.ts</x:v>
      </x:c>
      <x:c r="J70" s="38" t="n">
        <x:v>1</x:v>
      </x:c>
      <x:c r="K70" s="38" t="n">
        <x:v>1</x:v>
      </x:c>
      <x:c r="L70" s="37"/>
      <x:c r="M70" s="39"/>
      <x:c r="N70" s="37"/>
      <x:c r="O70" s="37" t="str">
        <x:v>Main SOW business flow absent; any scaffolding is listed in What is done</x:v>
      </x:c>
      <x:c r="P70" s="37" t="str">
        <x:v>No additional completed business flow found beyond What is done. Plan/scaffolding alone does not establish completion.</x:v>
      </x:c>
    </x:row>
    <x:row r="71" ht="72" hidden="0" customHeight="1">
      <x:c r="A71" s="40" t="n">
        <x:v>88</x:v>
      </x:c>
      <x:c r="B71" s="40" t="str">
        <x:v>Payroll &amp; compliance</x:v>
      </x:c>
      <x:c r="C71" s="40" t="str">
        <x:v>Aadhaar number.</x:v>
      </x:c>
      <x:c r="D71" s="40" t="str">
        <x:v>Pending</x:v>
      </x:c>
      <x:c r="E71" s="40" t="str">
        <x:v>DOB and statutory/bank strings can be stored; identifiers are permission-masked on reads.</x:v>
      </x:c>
      <x:c r="F71" s="40" t="str">
        <x:v>Implement the exact row validation (minor DOB, bank length, IFSC/PAN/Aadhaar format/checksum, duplicate ESIC). Import schema accepts raw strings; source migration lacks these CHECK/UNIQUE rules.</x:v>
      </x:c>
      <x:c r="G71" s="40" t="str">
        <x:v>CORE-07/08</x:v>
      </x:c>
      <x:c r="H71" s="40" t="str">
        <x:v>0.5 / before 2</x:v>
      </x:c>
      <x:c r="I71" s="40" t="str">
        <x:v>backend/migrations/1751810000000_org-employees.ts; backend/src/modules/employees/employees.router.ts; backend/src/modules/employees/import.schemas.ts</x:v>
      </x:c>
      <x:c r="J71" s="41" t="n">
        <x:v>1</x:v>
      </x:c>
      <x:c r="K71" s="41" t="n">
        <x:v>1</x:v>
      </x:c>
      <x:c r="L71" s="40"/>
      <x:c r="M71" s="42"/>
      <x:c r="N71" s="40"/>
      <x:c r="O71" s="40" t="str">
        <x:v>Main SOW business flow absent; any scaffolding is listed in What is done</x:v>
      </x:c>
      <x:c r="P71" s="40" t="str">
        <x:v>No additional completed business flow found beyond What is done. Plan/scaffolding alone does not establish completion.</x:v>
      </x:c>
    </x:row>
    <x:row r="72" ht="72" hidden="0" customHeight="1">
      <x:c r="A72" s="37" t="n">
        <x:v>89</x:v>
      </x:c>
      <x:c r="B72" s="37" t="str">
        <x:v>Payroll &amp; compliance</x:v>
      </x:c>
      <x:c r="C72" s="37" t="str">
        <x:v>Duplication of ESI number.</x:v>
      </x:c>
      <x:c r="D72" s="37" t="str">
        <x:v>Pending</x:v>
      </x:c>
      <x:c r="E72" s="37" t="str">
        <x:v>DOB and statutory/bank strings can be stored; identifiers are permission-masked on reads.</x:v>
      </x:c>
      <x:c r="F72" s="37" t="str">
        <x:v>Implement the exact row validation (minor DOB, bank length, IFSC/PAN/Aadhaar format/checksum, duplicate ESIC). Import schema accepts raw strings; source migration lacks these CHECK/UNIQUE rules.</x:v>
      </x:c>
      <x:c r="G72" s="37" t="str">
        <x:v>CORE-07/08</x:v>
      </x:c>
      <x:c r="H72" s="37" t="str">
        <x:v>0.5 / before 2</x:v>
      </x:c>
      <x:c r="I72" s="37" t="str">
        <x:v>backend/migrations/1751810000000_org-employees.ts; backend/src/modules/employees/employees.router.ts; backend/src/modules/employees/import.schemas.ts</x:v>
      </x:c>
      <x:c r="J72" s="38" t="n">
        <x:v>1</x:v>
      </x:c>
      <x:c r="K72" s="38" t="n">
        <x:v>1</x:v>
      </x:c>
      <x:c r="L72" s="37"/>
      <x:c r="M72" s="39"/>
      <x:c r="N72" s="37"/>
      <x:c r="O72" s="37" t="str">
        <x:v>Main SOW business flow absent; any scaffolding is listed in What is done</x:v>
      </x:c>
      <x:c r="P72" s="37" t="str">
        <x:v>No additional completed business flow found beyond What is done. Plan/scaffolding alone does not establish completion.</x:v>
      </x:c>
    </x:row>
    <x:row r="73" ht="72" hidden="0" customHeight="1">
      <x:c r="A73" s="40" t="n">
        <x:v>90</x:v>
      </x:c>
      <x:c r="B73" s="40" t="str">
        <x:v>Payroll &amp; compliance</x:v>
      </x:c>
      <x:c r="C73" s="40" t="str">
        <x:v>Check that the CTC matches with break up shared by the Rashmi Metaliks Limited</x:v>
      </x:c>
      <x:c r="D73" s="40" t="str">
        <x:v>Pending</x:v>
      </x:c>
      <x:c r="E73" s="40" t="str">
        <x:v>Salary structure is a pending Phase-2 item.</x:v>
      </x:c>
      <x:c r="F73" s="40" t="str">
        <x:v>Build CTC-vs-component breakup validation and rejection fixtures.</x:v>
      </x:c>
      <x:c r="G73" s="40" t="str">
        <x:v>CORE-08, PAY-01</x:v>
      </x:c>
      <x:c r="H73" s="40" t="str">
        <x:v>2.1</x:v>
      </x:c>
      <x:c r="I73" s="40" t="str">
        <x:v>plans/phase-2-payroll-statutory.md; backend/src/api/router.ts; frontend/src/pages/payroll/PayrollPage.tsx</x:v>
      </x:c>
      <x:c r="J73" s="41" t="n">
        <x:v>1</x:v>
      </x:c>
      <x:c r="K73" s="41" t="n">
        <x:v>1</x:v>
      </x:c>
      <x:c r="L73" s="40"/>
      <x:c r="M73" s="42"/>
      <x:c r="N73" s="40"/>
      <x:c r="O73" s="40" t="str">
        <x:v>Main SOW business flow absent; any scaffolding is listed in What is done</x:v>
      </x:c>
      <x:c r="P73" s="40" t="str">
        <x:v>No additional completed business flow found beyond What is done. Plan/scaffolding alone does not establish completion.</x:v>
      </x:c>
    </x:row>
    <x:row r="74" ht="72" hidden="0" customHeight="1">
      <x:c r="A74" s="37" t="n">
        <x:v>91</x:v>
      </x:c>
      <x:c r="B74" s="37" t="str">
        <x:v>Payroll &amp; compliance</x:v>
      </x:c>
      <x:c r="C74" s="37" t="str">
        <x:v>Identification of duplicate inputs.</x:v>
      </x:c>
      <x:c r="D74" s="37" t="str">
        <x:v>Pending</x:v>
      </x:c>
      <x:c r="E74" s="37" t="str">
        <x:v>Employee ecode uniqueness exists; payroll input pipeline does not.</x:v>
      </x:c>
      <x:c r="F74" s="37" t="str">
        <x:v>Add duplicate monthly-variable/input detection keyed to run/employee/component.</x:v>
      </x:c>
      <x:c r="G74" s="37" t="str">
        <x:v>CORE-08, PAY-03</x:v>
      </x:c>
      <x:c r="H74" s="37" t="str">
        <x:v>2.2</x:v>
      </x:c>
      <x:c r="I74" s="37" t="str">
        <x:v>plans/phase-2-payroll-statutory.md; backend/src/api/router.ts; frontend/src/pages/payroll/PayrollPage.tsx</x:v>
      </x:c>
      <x:c r="J74" s="38" t="n">
        <x:v>1</x:v>
      </x:c>
      <x:c r="K74" s="38" t="n">
        <x:v>1</x:v>
      </x:c>
      <x:c r="L74" s="37"/>
      <x:c r="M74" s="39"/>
      <x:c r="N74" s="37"/>
      <x:c r="O74" s="37" t="str">
        <x:v>Main SOW business flow absent; any scaffolding is listed in What is done</x:v>
      </x:c>
      <x:c r="P74" s="37" t="str">
        <x:v>No additional completed business flow found beyond What is done. Plan/scaffolding alone does not establish completion.</x:v>
      </x:c>
    </x:row>
    <x:row r="75" ht="72" hidden="0" customHeight="1">
      <x:c r="A75" s="40" t="n">
        <x:v>92</x:v>
      </x:c>
      <x:c r="B75" s="40" t="str">
        <x:v>Payroll &amp; compliance</x:v>
      </x:c>
      <x:c r="C75" s="40" t="str">
        <x:v>Special Character for designation, Department - like" &amp; " , ' ". These are not accepted and would be removed.</x:v>
      </x:c>
      <x:c r="D75" s="40" t="str">
        <x:v>Partial</x:v>
      </x:c>
      <x:c r="E75" s="40" t="str">
        <x:v>Department/designation import trims, collapses whitespace and deduplicates case.</x:v>
      </x:c>
      <x:c r="F75" s="40" t="str">
        <x:v>Implement the specified special-character rule or obtain approved replacement. Current normalization does not strip ampersands/quotes.</x:v>
      </x:c>
      <x:c r="G75" s="40" t="str">
        <x:v>CORE-08</x:v>
      </x:c>
      <x:c r="H75" s="40" t="str">
        <x:v>0.5</x:v>
      </x:c>
      <x:c r="I75" s="40" t="str">
        <x:v>backend/src/modules/employees/import.service.ts; backend/src/modules/employees/import.schemas.ts; plans/phase-0-foundations.md</x:v>
      </x:c>
      <x:c r="J75" s="41" t="n">
        <x:v>1</x:v>
      </x:c>
      <x:c r="K75" s="41" t="n">
        <x:v>1</x:v>
      </x:c>
      <x:c r="L75" s="40"/>
      <x:c r="M75" s="42"/>
      <x:c r="N75" s="40"/>
      <x:c r="O75" s="40" t="str">
        <x:v>Supporting implementation exists; exact SOW point incomplete</x:v>
      </x:c>
      <x:c r="P75" s="40" t="str">
        <x:v>Code credited independently of plan checkboxes. See What is done, What remains and repository evidence.</x:v>
      </x:c>
    </x:row>
    <x:row r="76" ht="72" hidden="0" customHeight="1">
      <x:c r="A76" s="37" t="n">
        <x:v>93</x:v>
      </x:c>
      <x:c r="B76" s="37" t="str">
        <x:v>Payroll &amp; compliance</x:v>
      </x:c>
      <x:c r="C76" s="37" t="str">
        <x:v>Check whether an employee is in Active or Inactive statusfor variable inputs.</x:v>
      </x:c>
      <x:c r="D76" s="37" t="str">
        <x:v>Partial</x:v>
      </x:c>
      <x:c r="E76" s="37" t="str">
        <x:v>Directory supports status filters and exited-requires-DOL CHECK.</x:v>
      </x:c>
      <x:c r="F76" s="37" t="str">
        <x:v>Enforce active/exiting eligibility in payroll variable inputs; input API is pending.</x:v>
      </x:c>
      <x:c r="G76" s="37" t="str">
        <x:v>CORE-06, PAY-03</x:v>
      </x:c>
      <x:c r="H76" s="37" t="str">
        <x:v>2.2</x:v>
      </x:c>
      <x:c r="I76" s="37" t="str">
        <x:v>backend/migrations/1751810000000_org-employees.ts; backend/src/modules/employees/employees.router.ts; plans/phase-2-payroll-statutory.md; backend/src/api/router.ts; frontend/src/pages/payroll/PayrollPage.tsx</x:v>
      </x:c>
      <x:c r="J76" s="38" t="n">
        <x:v>1</x:v>
      </x:c>
      <x:c r="K76" s="38" t="n">
        <x:v>1</x:v>
      </x:c>
      <x:c r="L76" s="37"/>
      <x:c r="M76" s="39"/>
      <x:c r="N76" s="37"/>
      <x:c r="O76" s="37" t="str">
        <x:v>Supporting implementation exists; exact SOW point incomplete</x:v>
      </x:c>
      <x:c r="P76" s="37" t="str">
        <x:v>Code credited independently of plan checkboxes. See What is done, What remains and repository evidence.</x:v>
      </x:c>
    </x:row>
    <x:row r="77" ht="72" hidden="0" customHeight="1">
      <x:c r="A77" s="40" t="n">
        <x:v>95</x:v>
      </x:c>
      <x:c r="B77" s="40" t="str">
        <x:v>Payroll &amp; compliance</x:v>
      </x:c>
      <x:c r="C77" s="40" t="str">
        <x:v>Payroll Input</x:v>
      </x:c>
      <x:c r="D77" s="40" t="str">
        <x:v>Pending</x:v>
      </x:c>
      <x:c r="E77" s="40" t="str">
        <x:v>Entity master exists; payroll/transfer processes do not.</x:v>
      </x:c>
      <x:c r="F77" s="40" t="str">
        <x:v>Build this entity-transfer deliverable: input, draft, observation/review, final register, bank file, payslip/tax or JV/custom reports; prove payroll continuity.</x:v>
      </x:c>
      <x:c r="G77" s="40" t="str">
        <x:v>LC-05, PAY-03/05/13</x:v>
      </x:c>
      <x:c r="H77" s="40" t="str">
        <x:v>2 / 3.3</x:v>
      </x:c>
      <x:c r="I77" s="40" t="str">
        <x:v>plans/phase-3-lifecycle-assets-executive.md; backend/src/modules/lifecycle/lifecycle.router.ts; frontend/src/pages/lifecycle/LifecyclePage.tsx; plans/phase-2-payroll-statutory.md; backend/src/api/router.ts; frontend/src/pages/payroll/PayrollPage.tsx</x:v>
      </x:c>
      <x:c r="J77" s="41" t="n">
        <x:v>1</x:v>
      </x:c>
      <x:c r="K77" s="41" t="n">
        <x:v>1</x:v>
      </x:c>
      <x:c r="L77" s="40"/>
      <x:c r="M77" s="42"/>
      <x:c r="N77" s="40"/>
      <x:c r="O77" s="40" t="str">
        <x:v>Main SOW business flow absent; any scaffolding is listed in What is done</x:v>
      </x:c>
      <x:c r="P77" s="40" t="str">
        <x:v>No additional completed business flow found beyond What is done. Plan/scaffolding alone does not establish completion.</x:v>
      </x:c>
    </x:row>
    <x:row r="78" ht="72" hidden="0" customHeight="1">
      <x:c r="A78" s="37" t="n">
        <x:v>96</x:v>
      </x:c>
      <x:c r="B78" s="37" t="str">
        <x:v>Payroll &amp; compliance</x:v>
      </x:c>
      <x:c r="C78" s="37" t="str">
        <x:v>Draft Pay sheet</x:v>
      </x:c>
      <x:c r="D78" s="37" t="str">
        <x:v>Pending</x:v>
      </x:c>
      <x:c r="E78" s="37" t="str">
        <x:v>Entity master exists; payroll/transfer processes do not.</x:v>
      </x:c>
      <x:c r="F78" s="37" t="str">
        <x:v>Build this entity-transfer deliverable: input, draft, observation/review, final register, bank file, payslip/tax or JV/custom reports; prove payroll continuity.</x:v>
      </x:c>
      <x:c r="G78" s="37" t="str">
        <x:v>LC-05, PAY-03/05/13</x:v>
      </x:c>
      <x:c r="H78" s="37" t="str">
        <x:v>2 / 3.3</x:v>
      </x:c>
      <x:c r="I78" s="37" t="str">
        <x:v>plans/phase-3-lifecycle-assets-executive.md; backend/src/modules/lifecycle/lifecycle.router.ts; frontend/src/pages/lifecycle/LifecyclePage.tsx; plans/phase-2-payroll-statutory.md; backend/src/api/router.ts; frontend/src/pages/payroll/PayrollPage.tsx</x:v>
      </x:c>
      <x:c r="J78" s="38" t="n">
        <x:v>1</x:v>
      </x:c>
      <x:c r="K78" s="38" t="n">
        <x:v>1</x:v>
      </x:c>
      <x:c r="L78" s="37"/>
      <x:c r="M78" s="39"/>
      <x:c r="N78" s="37"/>
      <x:c r="O78" s="37" t="str">
        <x:v>Main SOW business flow absent; any scaffolding is listed in What is done</x:v>
      </x:c>
      <x:c r="P78" s="37" t="str">
        <x:v>No additional completed business flow found beyond What is done. Plan/scaffolding alone does not establish completion.</x:v>
      </x:c>
    </x:row>
    <x:row r="79" ht="72" hidden="0" customHeight="1">
      <x:c r="A79" s="40" t="n">
        <x:v>97</x:v>
      </x:c>
      <x:c r="B79" s="40" t="str">
        <x:v>Payroll &amp; compliance</x:v>
      </x:c>
      <x:c r="C79" s="40" t="str">
        <x:v>Observations if any</x:v>
      </x:c>
      <x:c r="D79" s="40" t="str">
        <x:v>Pending</x:v>
      </x:c>
      <x:c r="E79" s="40" t="str">
        <x:v>Entity master exists; payroll/transfer processes do not.</x:v>
      </x:c>
      <x:c r="F79" s="40" t="str">
        <x:v>Build this entity-transfer deliverable: input, draft, observation/review, final register, bank file, payslip/tax or JV/custom reports; prove payroll continuity.</x:v>
      </x:c>
      <x:c r="G79" s="40" t="str">
        <x:v>LC-05, PAY-03/05/13</x:v>
      </x:c>
      <x:c r="H79" s="40" t="str">
        <x:v>2 / 3.3</x:v>
      </x:c>
      <x:c r="I79" s="40" t="str">
        <x:v>plans/phase-3-lifecycle-assets-executive.md; backend/src/modules/lifecycle/lifecycle.router.ts; frontend/src/pages/lifecycle/LifecyclePage.tsx; plans/phase-2-payroll-statutory.md; backend/src/api/router.ts; frontend/src/pages/payroll/PayrollPage.tsx</x:v>
      </x:c>
      <x:c r="J79" s="41" t="n">
        <x:v>1</x:v>
      </x:c>
      <x:c r="K79" s="41" t="n">
        <x:v>1</x:v>
      </x:c>
      <x:c r="L79" s="40"/>
      <x:c r="M79" s="42"/>
      <x:c r="N79" s="40"/>
      <x:c r="O79" s="40" t="str">
        <x:v>Main SOW business flow absent; any scaffolding is listed in What is done</x:v>
      </x:c>
      <x:c r="P79" s="40" t="str">
        <x:v>No additional completed business flow found beyond What is done. Plan/scaffolding alone does not establish completion.</x:v>
      </x:c>
    </x:row>
    <x:row r="80" ht="72" hidden="0" customHeight="1">
      <x:c r="A80" s="37" t="n">
        <x:v>98</x:v>
      </x:c>
      <x:c r="B80" s="37" t="str">
        <x:v>Payroll &amp; compliance</x:v>
      </x:c>
      <x:c r="C80" s="37" t="str">
        <x:v>Finaly pay Register</x:v>
      </x:c>
      <x:c r="D80" s="37" t="str">
        <x:v>Pending</x:v>
      </x:c>
      <x:c r="E80" s="37" t="str">
        <x:v>Entity master exists; payroll/transfer processes do not.</x:v>
      </x:c>
      <x:c r="F80" s="37" t="str">
        <x:v>Build this entity-transfer deliverable: input, draft, observation/review, final register, bank file, payslip/tax or JV/custom reports; prove payroll continuity.</x:v>
      </x:c>
      <x:c r="G80" s="37" t="str">
        <x:v>LC-05, PAY-03/05/13</x:v>
      </x:c>
      <x:c r="H80" s="37" t="str">
        <x:v>2 / 3.3</x:v>
      </x:c>
      <x:c r="I80" s="37" t="str">
        <x:v>plans/phase-3-lifecycle-assets-executive.md; backend/src/modules/lifecycle/lifecycle.router.ts; frontend/src/pages/lifecycle/LifecyclePage.tsx; plans/phase-2-payroll-statutory.md; backend/src/api/router.ts; frontend/src/pages/payroll/PayrollPage.tsx</x:v>
      </x:c>
      <x:c r="J80" s="38" t="n">
        <x:v>1</x:v>
      </x:c>
      <x:c r="K80" s="38" t="n">
        <x:v>1</x:v>
      </x:c>
      <x:c r="L80" s="37"/>
      <x:c r="M80" s="39"/>
      <x:c r="N80" s="37"/>
      <x:c r="O80" s="37" t="str">
        <x:v>Main SOW business flow absent; any scaffolding is listed in What is done</x:v>
      </x:c>
      <x:c r="P80" s="37" t="str">
        <x:v>No additional completed business flow found beyond What is done. Plan/scaffolding alone does not establish completion.</x:v>
      </x:c>
    </x:row>
    <x:row r="81" ht="72" hidden="0" customHeight="1">
      <x:c r="A81" s="40" t="n">
        <x:v>99</x:v>
      </x:c>
      <x:c r="B81" s="40" t="str">
        <x:v>Payroll &amp; compliance</x:v>
      </x:c>
      <x:c r="C81" s="40" t="str">
        <x:v>Bank Transfer File</x:v>
      </x:c>
      <x:c r="D81" s="40" t="str">
        <x:v>Pending</x:v>
      </x:c>
      <x:c r="E81" s="40" t="str">
        <x:v>Entity master exists; payroll/transfer processes do not.</x:v>
      </x:c>
      <x:c r="F81" s="40" t="str">
        <x:v>Build this entity-transfer deliverable: input, draft, observation/review, final register, bank file, payslip/tax or JV/custom reports; prove payroll continuity.</x:v>
      </x:c>
      <x:c r="G81" s="40" t="str">
        <x:v>LC-05, PAY-03/05/13</x:v>
      </x:c>
      <x:c r="H81" s="40" t="str">
        <x:v>2 / 3.3</x:v>
      </x:c>
      <x:c r="I81" s="40" t="str">
        <x:v>plans/phase-3-lifecycle-assets-executive.md; backend/src/modules/lifecycle/lifecycle.router.ts; frontend/src/pages/lifecycle/LifecyclePage.tsx; plans/phase-2-payroll-statutory.md; backend/src/api/router.ts; frontend/src/pages/payroll/PayrollPage.tsx</x:v>
      </x:c>
      <x:c r="J81" s="41" t="n">
        <x:v>1</x:v>
      </x:c>
      <x:c r="K81" s="41" t="n">
        <x:v>1</x:v>
      </x:c>
      <x:c r="L81" s="40"/>
      <x:c r="M81" s="42"/>
      <x:c r="N81" s="40"/>
      <x:c r="O81" s="40" t="str">
        <x:v>Main SOW business flow absent; any scaffolding is listed in What is done</x:v>
      </x:c>
      <x:c r="P81" s="40" t="str">
        <x:v>No additional completed business flow found beyond What is done. Plan/scaffolding alone does not establish completion.</x:v>
      </x:c>
    </x:row>
    <x:row r="82" ht="72" hidden="0" customHeight="1">
      <x:c r="A82" s="37" t="n">
        <x:v>100</x:v>
      </x:c>
      <x:c r="B82" s="37" t="str">
        <x:v>Payroll &amp; compliance</x:v>
      </x:c>
      <x:c r="C82" s="37" t="str">
        <x:v>Payslip and Tax planner</x:v>
      </x:c>
      <x:c r="D82" s="37" t="str">
        <x:v>Pending</x:v>
      </x:c>
      <x:c r="E82" s="37" t="str">
        <x:v>Entity master exists; payroll/transfer processes do not.</x:v>
      </x:c>
      <x:c r="F82" s="37" t="str">
        <x:v>Build this entity-transfer deliverable: input, draft, observation/review, final register, bank file, payslip/tax or JV/custom reports; prove payroll continuity.</x:v>
      </x:c>
      <x:c r="G82" s="37" t="str">
        <x:v>LC-05, PAY-03/05/13</x:v>
      </x:c>
      <x:c r="H82" s="37" t="str">
        <x:v>2 / 3.3</x:v>
      </x:c>
      <x:c r="I82" s="37" t="str">
        <x:v>plans/phase-3-lifecycle-assets-executive.md; backend/src/modules/lifecycle/lifecycle.router.ts; frontend/src/pages/lifecycle/LifecyclePage.tsx; plans/phase-2-payroll-statutory.md; backend/src/api/router.ts; frontend/src/pages/payroll/PayrollPage.tsx</x:v>
      </x:c>
      <x:c r="J82" s="38" t="n">
        <x:v>1</x:v>
      </x:c>
      <x:c r="K82" s="38" t="n">
        <x:v>1</x:v>
      </x:c>
      <x:c r="L82" s="37"/>
      <x:c r="M82" s="39"/>
      <x:c r="N82" s="37"/>
      <x:c r="O82" s="37" t="str">
        <x:v>Main SOW business flow absent; any scaffolding is listed in What is done</x:v>
      </x:c>
      <x:c r="P82" s="37" t="str">
        <x:v>No additional completed business flow found beyond What is done. Plan/scaffolding alone does not establish completion.</x:v>
      </x:c>
    </x:row>
    <x:row r="83" ht="72" hidden="0" customHeight="1">
      <x:c r="A83" s="40" t="n">
        <x:v>101</x:v>
      </x:c>
      <x:c r="B83" s="40" t="str">
        <x:v>Payroll &amp; compliance</x:v>
      </x:c>
      <x:c r="C83" s="40" t="str">
        <x:v>JV report, Standard report and Customised Reports</x:v>
      </x:c>
      <x:c r="D83" s="40" t="str">
        <x:v>Pending</x:v>
      </x:c>
      <x:c r="E83" s="40" t="str">
        <x:v>Entity master exists; payroll/transfer processes do not.</x:v>
      </x:c>
      <x:c r="F83" s="40" t="str">
        <x:v>Build this entity-transfer deliverable: input, draft, observation/review, final register, bank file, payslip/tax or JV/custom reports; prove payroll continuity.</x:v>
      </x:c>
      <x:c r="G83" s="40" t="str">
        <x:v>LC-05, PAY-03/05/13</x:v>
      </x:c>
      <x:c r="H83" s="40" t="str">
        <x:v>2 / 3.3</x:v>
      </x:c>
      <x:c r="I83" s="40" t="str">
        <x:v>plans/phase-3-lifecycle-assets-executive.md; backend/src/modules/lifecycle/lifecycle.router.ts; frontend/src/pages/lifecycle/LifecyclePage.tsx; plans/phase-2-payroll-statutory.md; backend/src/api/router.ts; frontend/src/pages/payroll/PayrollPage.tsx</x:v>
      </x:c>
      <x:c r="J83" s="41" t="n">
        <x:v>1</x:v>
      </x:c>
      <x:c r="K83" s="41" t="n">
        <x:v>1</x:v>
      </x:c>
      <x:c r="L83" s="40"/>
      <x:c r="M83" s="42"/>
      <x:c r="N83" s="40"/>
      <x:c r="O83" s="40" t="str">
        <x:v>Main SOW business flow absent; any scaffolding is listed in What is done</x:v>
      </x:c>
      <x:c r="P83" s="40" t="str">
        <x:v>No additional completed business flow found beyond What is done. Plan/scaffolding alone does not establish completion.</x:v>
      </x:c>
    </x:row>
    <x:row r="84" ht="72" hidden="0" customHeight="1">
      <x:c r="A84" s="37" t="n">
        <x:v>103</x:v>
      </x:c>
      <x:c r="B84" s="37" t="str">
        <x:v>Payroll &amp; compliance</x:v>
      </x:c>
      <x:c r="C84" s="37" t="str">
        <x:v>Mid-month new joiner</x:v>
      </x:c>
      <x:c r="D84" s="37" t="str">
        <x:v>Pending</x:v>
      </x:c>
      <x:c r="E84" s="37" t="str">
        <x:v>Proration/retro methods are specified; only generic money rounding utilities exist.</x:v>
      </x:c>
      <x:c r="F84" s="37" t="str">
        <x:v>Implement row-specific join/leave/LOP/reversal/divisor/legacy arrear behavior using signed settings and hand-computed payroll fixtures.</x:v>
      </x:c>
      <x:c r="G84" s="37" t="str">
        <x:v>PAY-04/16</x:v>
      </x:c>
      <x:c r="H84" s="37" t="str">
        <x:v>2.2</x:v>
      </x:c>
      <x:c r="I84" s="37" t="str">
        <x:v>plans/phase-2-payroll-statutory.md; backend/src/api/router.ts; frontend/src/pages/payroll/PayrollPage.tsx; docs/04-MODULE-SPECS.md</x:v>
      </x:c>
      <x:c r="J84" s="38" t="n">
        <x:v>1</x:v>
      </x:c>
      <x:c r="K84" s="38" t="n">
        <x:v>1</x:v>
      </x:c>
      <x:c r="L84" s="37"/>
      <x:c r="M84" s="39"/>
      <x:c r="N84" s="37"/>
      <x:c r="O84" s="37" t="str">
        <x:v>Main SOW business flow absent; any scaffolding is listed in What is done</x:v>
      </x:c>
      <x:c r="P84" s="37" t="str">
        <x:v>No additional completed business flow found beyond What is done. Plan/scaffolding alone does not establish completion.</x:v>
      </x:c>
    </x:row>
    <x:row r="85" ht="72" hidden="0" customHeight="1">
      <x:c r="A85" s="40" t="n">
        <x:v>104</x:v>
      </x:c>
      <x:c r="B85" s="40" t="str">
        <x:v>Payroll &amp; compliance</x:v>
      </x:c>
      <x:c r="C85" s="40" t="str">
        <x:v>Mid-month leaver</x:v>
      </x:c>
      <x:c r="D85" s="40" t="str">
        <x:v>Pending</x:v>
      </x:c>
      <x:c r="E85" s="40" t="str">
        <x:v>Proration/retro methods are specified; only generic money rounding utilities exist.</x:v>
      </x:c>
      <x:c r="F85" s="40" t="str">
        <x:v>Implement row-specific join/leave/LOP/reversal/divisor/legacy arrear behavior using signed settings and hand-computed payroll fixtures.</x:v>
      </x:c>
      <x:c r="G85" s="40" t="str">
        <x:v>PAY-04/16</x:v>
      </x:c>
      <x:c r="H85" s="40" t="str">
        <x:v>2.2</x:v>
      </x:c>
      <x:c r="I85" s="40" t="str">
        <x:v>plans/phase-2-payroll-statutory.md; backend/src/api/router.ts; frontend/src/pages/payroll/PayrollPage.tsx; docs/04-MODULE-SPECS.md</x:v>
      </x:c>
      <x:c r="J85" s="41" t="n">
        <x:v>1</x:v>
      </x:c>
      <x:c r="K85" s="41" t="n">
        <x:v>1</x:v>
      </x:c>
      <x:c r="L85" s="40"/>
      <x:c r="M85" s="42"/>
      <x:c r="N85" s="40"/>
      <x:c r="O85" s="40" t="str">
        <x:v>Main SOW business flow absent; any scaffolding is listed in What is done</x:v>
      </x:c>
      <x:c r="P85" s="40" t="str">
        <x:v>No additional completed business flow found beyond What is done. Plan/scaffolding alone does not establish completion.</x:v>
      </x:c>
    </x:row>
    <x:row r="86" ht="72" hidden="0" customHeight="1">
      <x:c r="A86" s="37" t="n">
        <x:v>105</x:v>
      </x:c>
      <x:c r="B86" s="37" t="str">
        <x:v>Payroll &amp; compliance</x:v>
      </x:c>
      <x:c r="C86" s="37" t="str">
        <x:v>Loss of Pay calculations</x:v>
      </x:c>
      <x:c r="D86" s="37" t="str">
        <x:v>Pending</x:v>
      </x:c>
      <x:c r="E86" s="37" t="str">
        <x:v>Proration/retro methods are specified; only generic money rounding utilities exist.</x:v>
      </x:c>
      <x:c r="F86" s="37" t="str">
        <x:v>Implement row-specific join/leave/LOP/reversal/divisor/legacy arrear behavior using signed settings and hand-computed payroll fixtures.</x:v>
      </x:c>
      <x:c r="G86" s="37" t="str">
        <x:v>PAY-04/16</x:v>
      </x:c>
      <x:c r="H86" s="37" t="str">
        <x:v>2.2</x:v>
      </x:c>
      <x:c r="I86" s="37" t="str">
        <x:v>plans/phase-2-payroll-statutory.md; backend/src/api/router.ts; frontend/src/pages/payroll/PayrollPage.tsx; docs/04-MODULE-SPECS.md</x:v>
      </x:c>
      <x:c r="J86" s="38" t="n">
        <x:v>1</x:v>
      </x:c>
      <x:c r="K86" s="38" t="n">
        <x:v>1</x:v>
      </x:c>
      <x:c r="L86" s="37"/>
      <x:c r="M86" s="39"/>
      <x:c r="N86" s="37"/>
      <x:c r="O86" s="37" t="str">
        <x:v>Main SOW business flow absent; any scaffolding is listed in What is done</x:v>
      </x:c>
      <x:c r="P86" s="37" t="str">
        <x:v>No additional completed business flow found beyond What is done. Plan/scaffolding alone does not establish completion.</x:v>
      </x:c>
    </x:row>
    <x:row r="87" ht="72" hidden="0" customHeight="1">
      <x:c r="A87" s="40" t="n">
        <x:v>106</x:v>
      </x:c>
      <x:c r="B87" s="40" t="str">
        <x:v>Payroll &amp; compliance</x:v>
      </x:c>
      <x:c r="C87" s="40" t="str">
        <x:v>Loss of Pay reversals</x:v>
      </x:c>
      <x:c r="D87" s="40" t="str">
        <x:v>Pending</x:v>
      </x:c>
      <x:c r="E87" s="40" t="str">
        <x:v>Proration/retro methods are specified; only generic money rounding utilities exist.</x:v>
      </x:c>
      <x:c r="F87" s="40" t="str">
        <x:v>Implement row-specific join/leave/LOP/reversal/divisor/legacy arrear behavior using signed settings and hand-computed payroll fixtures.</x:v>
      </x:c>
      <x:c r="G87" s="40" t="str">
        <x:v>PAY-04/16</x:v>
      </x:c>
      <x:c r="H87" s="40" t="str">
        <x:v>2.2</x:v>
      </x:c>
      <x:c r="I87" s="40" t="str">
        <x:v>plans/phase-2-payroll-statutory.md; backend/src/api/router.ts; frontend/src/pages/payroll/PayrollPage.tsx; docs/04-MODULE-SPECS.md</x:v>
      </x:c>
      <x:c r="J87" s="41" t="n">
        <x:v>1</x:v>
      </x:c>
      <x:c r="K87" s="41" t="n">
        <x:v>1</x:v>
      </x:c>
      <x:c r="L87" s="40"/>
      <x:c r="M87" s="42"/>
      <x:c r="N87" s="40"/>
      <x:c r="O87" s="40" t="str">
        <x:v>Main SOW business flow absent; any scaffolding is listed in What is done</x:v>
      </x:c>
      <x:c r="P87" s="40" t="str">
        <x:v>No additional completed business flow found beyond What is done. Plan/scaffolding alone does not establish completion.</x:v>
      </x:c>
    </x:row>
    <x:row r="88" ht="72" hidden="0" customHeight="1">
      <x:c r="A88" s="37" t="n">
        <x:v>107</x:v>
      </x:c>
      <x:c r="B88" s="37" t="str">
        <x:v>Payroll &amp; compliance</x:v>
      </x:c>
      <x:c r="C88" s="37" t="str">
        <x:v>Previous month Loss of Pay</x:v>
      </x:c>
      <x:c r="D88" s="37" t="str">
        <x:v>Pending</x:v>
      </x:c>
      <x:c r="E88" s="37" t="str">
        <x:v>Proration/retro methods are specified; only generic money rounding utilities exist.</x:v>
      </x:c>
      <x:c r="F88" s="37" t="str">
        <x:v>Implement row-specific join/leave/LOP/reversal/divisor/legacy arrear behavior using signed settings and hand-computed payroll fixtures.</x:v>
      </x:c>
      <x:c r="G88" s="37" t="str">
        <x:v>PAY-04/16</x:v>
      </x:c>
      <x:c r="H88" s="37" t="str">
        <x:v>2.2</x:v>
      </x:c>
      <x:c r="I88" s="37" t="str">
        <x:v>plans/phase-2-payroll-statutory.md; backend/src/api/router.ts; frontend/src/pages/payroll/PayrollPage.tsx; docs/04-MODULE-SPECS.md</x:v>
      </x:c>
      <x:c r="J88" s="38" t="n">
        <x:v>1</x:v>
      </x:c>
      <x:c r="K88" s="38" t="n">
        <x:v>1</x:v>
      </x:c>
      <x:c r="L88" s="37"/>
      <x:c r="M88" s="39"/>
      <x:c r="N88" s="37"/>
      <x:c r="O88" s="37" t="str">
        <x:v>Main SOW business flow absent; any scaffolding is listed in What is done</x:v>
      </x:c>
      <x:c r="P88" s="37" t="str">
        <x:v>No additional completed business flow found beyond What is done. Plan/scaffolding alone does not establish completion.</x:v>
      </x:c>
    </x:row>
    <x:row r="89" ht="72" hidden="0" customHeight="1">
      <x:c r="A89" s="40" t="n">
        <x:v>109</x:v>
      </x:c>
      <x:c r="B89" s="40" t="str">
        <x:v>Payroll &amp; compliance</x:v>
      </x:c>
      <x:c r="C89" s="40" t="str">
        <x:v>Actual calendar days in the month</x:v>
      </x:c>
      <x:c r="D89" s="40" t="str">
        <x:v>Pending</x:v>
      </x:c>
      <x:c r="E89" s="40" t="str">
        <x:v>Proration/retro methods are specified; only generic money rounding utilities exist.</x:v>
      </x:c>
      <x:c r="F89" s="40" t="str">
        <x:v>Implement row-specific join/leave/LOP/reversal/divisor/legacy arrear behavior using signed settings and hand-computed payroll fixtures.</x:v>
      </x:c>
      <x:c r="G89" s="40" t="str">
        <x:v>PAY-04/16</x:v>
      </x:c>
      <x:c r="H89" s="40" t="str">
        <x:v>2.2</x:v>
      </x:c>
      <x:c r="I89" s="40" t="str">
        <x:v>plans/phase-2-payroll-statutory.md; backend/src/api/router.ts; frontend/src/pages/payroll/PayrollPage.tsx; docs/04-MODULE-SPECS.md</x:v>
      </x:c>
      <x:c r="J89" s="41" t="n">
        <x:v>1</x:v>
      </x:c>
      <x:c r="K89" s="41" t="n">
        <x:v>1</x:v>
      </x:c>
      <x:c r="L89" s="40"/>
      <x:c r="M89" s="42"/>
      <x:c r="N89" s="40"/>
      <x:c r="O89" s="40" t="str">
        <x:v>Main SOW business flow absent; any scaffolding is listed in What is done</x:v>
      </x:c>
      <x:c r="P89" s="40" t="str">
        <x:v>No additional completed business flow found beyond What is done. Plan/scaffolding alone does not establish completion.</x:v>
      </x:c>
    </x:row>
    <x:row r="90" ht="72" hidden="0" customHeight="1">
      <x:c r="A90" s="37" t="n">
        <x:v>110</x:v>
      </x:c>
      <x:c r="B90" s="37" t="str">
        <x:v>Payroll &amp; compliance</x:v>
      </x:c>
      <x:c r="C90" s="37" t="str">
        <x:v>Actual calendar days in the month less weekends</x:v>
      </x:c>
      <x:c r="D90" s="37" t="str">
        <x:v>Pending</x:v>
      </x:c>
      <x:c r="E90" s="37" t="str">
        <x:v>Proration/retro methods are specified; only generic money rounding utilities exist.</x:v>
      </x:c>
      <x:c r="F90" s="37" t="str">
        <x:v>Implement row-specific join/leave/LOP/reversal/divisor/legacy arrear behavior using signed settings and hand-computed payroll fixtures.</x:v>
      </x:c>
      <x:c r="G90" s="37" t="str">
        <x:v>PAY-04/16</x:v>
      </x:c>
      <x:c r="H90" s="37" t="str">
        <x:v>2.2</x:v>
      </x:c>
      <x:c r="I90" s="37" t="str">
        <x:v>plans/phase-2-payroll-statutory.md; backend/src/api/router.ts; frontend/src/pages/payroll/PayrollPage.tsx; docs/04-MODULE-SPECS.md</x:v>
      </x:c>
      <x:c r="J90" s="38" t="n">
        <x:v>1</x:v>
      </x:c>
      <x:c r="K90" s="38" t="n">
        <x:v>1</x:v>
      </x:c>
      <x:c r="L90" s="37"/>
      <x:c r="M90" s="39"/>
      <x:c r="N90" s="37"/>
      <x:c r="O90" s="37" t="str">
        <x:v>Main SOW business flow absent; any scaffolding is listed in What is done</x:v>
      </x:c>
      <x:c r="P90" s="37" t="str">
        <x:v>No additional completed business flow found beyond What is done. Plan/scaffolding alone does not establish completion.</x:v>
      </x:c>
    </x:row>
    <x:row r="91" ht="72" hidden="0" customHeight="1">
      <x:c r="A91" s="40" t="n">
        <x:v>111</x:v>
      </x:c>
      <x:c r="B91" s="40" t="str">
        <x:v>Payroll &amp; compliance</x:v>
      </x:c>
      <x:c r="C91" s="40" t="str">
        <x:v>Fixed days like 30, 31 (this cannot change between months) without decimals.</x:v>
      </x:c>
      <x:c r="D91" s="40" t="str">
        <x:v>Pending</x:v>
      </x:c>
      <x:c r="E91" s="40" t="str">
        <x:v>Proration/retro methods are specified; only generic money rounding utilities exist.</x:v>
      </x:c>
      <x:c r="F91" s="40" t="str">
        <x:v>Implement row-specific join/leave/LOP/reversal/divisor/legacy arrear behavior using signed settings and hand-computed payroll fixtures.</x:v>
      </x:c>
      <x:c r="G91" s="40" t="str">
        <x:v>PAY-04/16</x:v>
      </x:c>
      <x:c r="H91" s="40" t="str">
        <x:v>2.2</x:v>
      </x:c>
      <x:c r="I91" s="40" t="str">
        <x:v>plans/phase-2-payroll-statutory.md; backend/src/api/router.ts; frontend/src/pages/payroll/PayrollPage.tsx; docs/04-MODULE-SPECS.md</x:v>
      </x:c>
      <x:c r="J91" s="41" t="n">
        <x:v>1</x:v>
      </x:c>
      <x:c r="K91" s="41" t="n">
        <x:v>1</x:v>
      </x:c>
      <x:c r="L91" s="40"/>
      <x:c r="M91" s="42"/>
      <x:c r="N91" s="40"/>
      <x:c r="O91" s="40" t="str">
        <x:v>Main SOW business flow absent; any scaffolding is listed in What is done</x:v>
      </x:c>
      <x:c r="P91" s="40" t="str">
        <x:v>No additional completed business flow found beyond What is done. Plan/scaffolding alone does not establish completion.</x:v>
      </x:c>
    </x:row>
    <x:row r="92" ht="72" hidden="0" customHeight="1">
      <x:c r="A92" s="37" t="n">
        <x:v>113</x:v>
      </x:c>
      <x:c r="B92" s="37" t="str">
        <x:v>Payroll &amp; compliance</x:v>
      </x:c>
      <x:c r="C92" s="37" t="str">
        <x:v>Actual calendar days less alternate weekends</x:v>
      </x:c>
      <x:c r="D92" s="37" t="str">
        <x:v>Scope decision</x:v>
      </x:c>
      <x:c r="E92" s="37" t="str">
        <x:v>Source section heading at row 112 says these proration modes are NOT possible, although each has score 100%.</x:v>
      </x:c>
      <x:c r="F92" s="37" t="str">
        <x:v>Keep as contractual exclusion/ambiguity until HR confirms intended scope. Do not count the historical 100% as a delivered capability.</x:v>
      </x:c>
      <x:c r="G92" s="37" t="str">
        <x:v>PAY-04</x:v>
      </x:c>
      <x:c r="H92" s="37" t="str">
        <x:v>Scope review / 2.2</x:v>
      </x:c>
      <x:c r="I92" s="37" t="str">
        <x:v>Documention_ProtiVity/SOW Tracker .xlsx; docs/01-REQUIREMENTS-PRD.md; docs/04-MODULE-SPECS.md</x:v>
      </x:c>
      <x:c r="J92" s="38" t="n">
        <x:v>1</x:v>
      </x:c>
      <x:c r="K92" s="38" t="n">
        <x:v>1</x:v>
      </x:c>
      <x:c r="L92" s="37"/>
      <x:c r="M92" s="39"/>
      <x:c r="N92" s="37"/>
      <x:c r="O92" s="37" t="str">
        <x:v>Ambiguous/excluded scope; code does not settle the decision</x:v>
      </x:c>
      <x:c r="P92" s="37" t="str">
        <x:v>No additional completed business flow found beyond What is done. Plan/scaffolding alone does not establish completion.</x:v>
      </x:c>
    </x:row>
    <x:row r="93" ht="72" hidden="0" customHeight="1">
      <x:c r="A93" s="40" t="n">
        <x:v>114</x:v>
      </x:c>
      <x:c r="B93" s="40" t="str">
        <x:v>Payroll &amp; compliance</x:v>
      </x:c>
      <x:c r="C93" s="40" t="str">
        <x:v>Actual calendar days less holidays</x:v>
      </x:c>
      <x:c r="D93" s="40" t="str">
        <x:v>Scope decision</x:v>
      </x:c>
      <x:c r="E93" s="40" t="str">
        <x:v>Source section heading at row 112 says these proration modes are NOT possible, although each has score 100%.</x:v>
      </x:c>
      <x:c r="F93" s="40" t="str">
        <x:v>Keep as contractual exclusion/ambiguity until HR confirms intended scope. Do not count the historical 100% as a delivered capability.</x:v>
      </x:c>
      <x:c r="G93" s="40" t="str">
        <x:v>PAY-04</x:v>
      </x:c>
      <x:c r="H93" s="40" t="str">
        <x:v>Scope review / 2.2</x:v>
      </x:c>
      <x:c r="I93" s="40" t="str">
        <x:v>Documention_ProtiVity/SOW Tracker .xlsx; docs/01-REQUIREMENTS-PRD.md; docs/04-MODULE-SPECS.md</x:v>
      </x:c>
      <x:c r="J93" s="41" t="n">
        <x:v>1</x:v>
      </x:c>
      <x:c r="K93" s="41" t="n">
        <x:v>1</x:v>
      </x:c>
      <x:c r="L93" s="40"/>
      <x:c r="M93" s="42"/>
      <x:c r="N93" s="40"/>
      <x:c r="O93" s="40" t="str">
        <x:v>Ambiguous/excluded scope; code does not settle the decision</x:v>
      </x:c>
      <x:c r="P93" s="40" t="str">
        <x:v>No additional completed business flow found beyond What is done. Plan/scaffolding alone does not establish completion.</x:v>
      </x:c>
    </x:row>
    <x:row r="94" ht="72" hidden="0" customHeight="1">
      <x:c r="A94" s="37" t="n">
        <x:v>115</x:v>
      </x:c>
      <x:c r="B94" s="37" t="str">
        <x:v>Payroll &amp; compliance</x:v>
      </x:c>
      <x:c r="C94" s="37" t="str">
        <x:v>Fixed days that vary month on month.</x:v>
      </x:c>
      <x:c r="D94" s="37" t="str">
        <x:v>Scope decision</x:v>
      </x:c>
      <x:c r="E94" s="37" t="str">
        <x:v>Source section heading at row 112 says these proration modes are NOT possible, although each has score 100%.</x:v>
      </x:c>
      <x:c r="F94" s="37" t="str">
        <x:v>Keep as contractual exclusion/ambiguity until HR confirms intended scope. Do not count the historical 100% as a delivered capability.</x:v>
      </x:c>
      <x:c r="G94" s="37" t="str">
        <x:v>PAY-04</x:v>
      </x:c>
      <x:c r="H94" s="37" t="str">
        <x:v>Scope review / 2.2</x:v>
      </x:c>
      <x:c r="I94" s="37" t="str">
        <x:v>Documention_ProtiVity/SOW Tracker .xlsx; docs/01-REQUIREMENTS-PRD.md; docs/04-MODULE-SPECS.md</x:v>
      </x:c>
      <x:c r="J94" s="38" t="n">
        <x:v>1</x:v>
      </x:c>
      <x:c r="K94" s="38" t="n">
        <x:v>1</x:v>
      </x:c>
      <x:c r="L94" s="37"/>
      <x:c r="M94" s="39"/>
      <x:c r="N94" s="37"/>
      <x:c r="O94" s="37" t="str">
        <x:v>Ambiguous/excluded scope; code does not settle the decision</x:v>
      </x:c>
      <x:c r="P94" s="37" t="str">
        <x:v>No additional completed business flow found beyond What is done. Plan/scaffolding alone does not establish completion.</x:v>
      </x:c>
    </x:row>
    <x:row r="95" ht="72" hidden="0" customHeight="1">
      <x:c r="A95" s="40" t="n">
        <x:v>116</x:v>
      </x:c>
      <x:c r="B95" s="40" t="str">
        <x:v>Payroll &amp; compliance</x:v>
      </x:c>
      <x:c r="C95" s="40" t="str">
        <x:v>If the period for which salary is pro rated pertains to the period prior to go live with vendor, then the client would need provide arrear break up component wise to enable vendor to include in the current month payroll.</x:v>
      </x:c>
      <x:c r="D95" s="40" t="str">
        <x:v>Pending</x:v>
      </x:c>
      <x:c r="E95" s="40" t="str">
        <x:v>Proration/retro methods are specified; only generic money rounding utilities exist.</x:v>
      </x:c>
      <x:c r="F95" s="40" t="str">
        <x:v>Implement row-specific join/leave/LOP/reversal/divisor/legacy arrear behavior using signed settings and hand-computed payroll fixtures.</x:v>
      </x:c>
      <x:c r="G95" s="40" t="str">
        <x:v>PAY-04/16</x:v>
      </x:c>
      <x:c r="H95" s="40" t="str">
        <x:v>2.2</x:v>
      </x:c>
      <x:c r="I95" s="40" t="str">
        <x:v>plans/phase-2-payroll-statutory.md; backend/src/api/router.ts; frontend/src/pages/payroll/PayrollPage.tsx; docs/04-MODULE-SPECS.md</x:v>
      </x:c>
      <x:c r="J95" s="41" t="n">
        <x:v>1</x:v>
      </x:c>
      <x:c r="K95" s="41" t="n">
        <x:v>1</x:v>
      </x:c>
      <x:c r="L95" s="40"/>
      <x:c r="M95" s="42"/>
      <x:c r="N95" s="40"/>
      <x:c r="O95" s="40" t="str">
        <x:v>Main SOW business flow absent; any scaffolding is listed in What is done</x:v>
      </x:c>
      <x:c r="P95" s="40" t="str">
        <x:v>No additional completed business flow found beyond What is done. Plan/scaffolding alone does not establish completion.</x:v>
      </x:c>
    </x:row>
    <x:row r="96" ht="72" hidden="0" customHeight="1">
      <x:c r="A96" s="37" t="n">
        <x:v>118</x:v>
      </x:c>
      <x:c r="B96" s="37" t="str">
        <x:v>Payroll &amp; compliance</x:v>
      </x:c>
      <x:c r="C96" s="37" t="str">
        <x:v>Vendor would handle the Loan scheduler with the following options:</x:v>
      </x:c>
      <x:c r="D96" s="37" t="str">
        <x:v>Pending</x:v>
      </x:c>
      <x:c r="E96" s="37" t="str">
        <x:v>Loans UI shell and generic loan workflow definition exist.</x:v>
      </x:c>
      <x:c r="F96" s="37" t="str">
        <x:v>Implement schedulers, eligibility, EMI/payroll postings, advances and SBI perquisite valuation as applicable. Import and reconcile legacy SAP balances.</x:v>
      </x:c>
      <x:c r="G96" s="37" t="str">
        <x:v>LN-01/02/03, PAY-13</x:v>
      </x:c>
      <x:c r="H96" s="37" t="str">
        <x:v>2.5</x:v>
      </x:c>
      <x:c r="I96" s="37" t="str">
        <x:v>plans/phase-2-payroll-statutory.md; backend/src/api/router.ts; frontend/src/pages/payroll/PayrollPage.tsx; frontend/src/pages/payroll/LoansPage.tsx</x:v>
      </x:c>
      <x:c r="J96" s="38" t="n">
        <x:v>0.7</x:v>
      </x:c>
      <x:c r="K96" s="38" t="n">
        <x:v>0.7</x:v>
      </x:c>
      <x:c r="L96" s="37" t="str">
        <x:v>Loan / Advances before May 25 need to be integrated from SAP </x:v>
      </x:c>
      <x:c r="M96" s="39"/>
      <x:c r="N96" s="37"/>
      <x:c r="O96" s="37" t="str">
        <x:v>Main SOW business flow absent; any scaffolding is listed in What is done</x:v>
      </x:c>
      <x:c r="P96" s="37" t="str">
        <x:v>No additional completed business flow found beyond What is done. Plan/scaffolding alone does not establish completion.</x:v>
      </x:c>
    </x:row>
    <x:row r="97" ht="72" hidden="0" customHeight="1">
      <x:c r="A97" s="40" t="n">
        <x:v>119</x:v>
      </x:c>
      <x:c r="B97" s="40" t="str">
        <x:v>Payroll &amp; compliance</x:v>
      </x:c>
      <x:c r="C97" s="40" t="str">
        <x:v>Diminishing</x:v>
      </x:c>
      <x:c r="D97" s="40" t="str">
        <x:v>Pending</x:v>
      </x:c>
      <x:c r="E97" s="40" t="str">
        <x:v>Loans UI shell and generic loan workflow definition exist.</x:v>
      </x:c>
      <x:c r="F97" s="40" t="str">
        <x:v>Implement schedulers, eligibility, EMI/payroll postings, advances and SBI perquisite valuation as applicable. Import and reconcile legacy SAP balances.</x:v>
      </x:c>
      <x:c r="G97" s="40" t="str">
        <x:v>LN-01/02/03, PAY-13</x:v>
      </x:c>
      <x:c r="H97" s="40" t="str">
        <x:v>2.5</x:v>
      </x:c>
      <x:c r="I97" s="40" t="str">
        <x:v>plans/phase-2-payroll-statutory.md; backend/src/api/router.ts; frontend/src/pages/payroll/PayrollPage.tsx; frontend/src/pages/payroll/LoansPage.tsx</x:v>
      </x:c>
      <x:c r="J97" s="41" t="n">
        <x:v>1</x:v>
      </x:c>
      <x:c r="K97" s="41" t="n">
        <x:v>1</x:v>
      </x:c>
      <x:c r="L97" s="40" t="str">
        <x:v>Loan eligibility is being calc to Basic </x:v>
      </x:c>
      <x:c r="M97" s="42" t="d">
        <x:v>2025-08-31T00:00:00.000Z</x:v>
      </x:c>
      <x:c r="N97" s="40"/>
      <x:c r="O97" s="40" t="str">
        <x:v>Main SOW business flow absent; any scaffolding is listed in What is done</x:v>
      </x:c>
      <x:c r="P97" s="40" t="str">
        <x:v>No additional completed business flow found beyond What is done. Plan/scaffolding alone does not establish completion.</x:v>
      </x:c>
    </x:row>
    <x:row r="98" ht="72" hidden="0" customHeight="1">
      <x:c r="A98" s="37" t="n">
        <x:v>120</x:v>
      </x:c>
      <x:c r="B98" s="37" t="str">
        <x:v>Payroll &amp; compliance</x:v>
      </x:c>
      <x:c r="C98" s="37" t="str">
        <x:v>Flat</x:v>
      </x:c>
      <x:c r="D98" s="37" t="str">
        <x:v>Pending</x:v>
      </x:c>
      <x:c r="E98" s="37" t="str">
        <x:v>Loans UI shell and generic loan workflow definition exist.</x:v>
      </x:c>
      <x:c r="F98" s="37" t="str">
        <x:v>Implement schedulers, eligibility, EMI/payroll postings, advances and SBI perquisite valuation as applicable. Import and reconcile legacy SAP balances.</x:v>
      </x:c>
      <x:c r="G98" s="37" t="str">
        <x:v>LN-01/02/03, PAY-13</x:v>
      </x:c>
      <x:c r="H98" s="37" t="str">
        <x:v>2.5</x:v>
      </x:c>
      <x:c r="I98" s="37" t="str">
        <x:v>plans/phase-2-payroll-statutory.md; backend/src/api/router.ts; frontend/src/pages/payroll/PayrollPage.tsx; frontend/src/pages/payroll/LoansPage.tsx</x:v>
      </x:c>
      <x:c r="J98" s="38" t="n">
        <x:v>1</x:v>
      </x:c>
      <x:c r="K98" s="38" t="n">
        <x:v>1</x:v>
      </x:c>
      <x:c r="L98" s="37"/>
      <x:c r="M98" s="39"/>
      <x:c r="N98" s="37"/>
      <x:c r="O98" s="37" t="str">
        <x:v>Main SOW business flow absent; any scaffolding is listed in What is done</x:v>
      </x:c>
      <x:c r="P98" s="37" t="str">
        <x:v>No additional completed business flow found beyond What is done. Plan/scaffolding alone does not establish completion.</x:v>
      </x:c>
    </x:row>
    <x:row r="99" ht="72" hidden="0" customHeight="1">
      <x:c r="A99" s="40" t="n">
        <x:v>121</x:v>
      </x:c>
      <x:c r="B99" s="40" t="str">
        <x:v>Payroll &amp; compliance</x:v>
      </x:c>
      <x:c r="C99" s="40" t="str">
        <x:v>Only EMI without Interest</x:v>
      </x:c>
      <x:c r="D99" s="40" t="str">
        <x:v>Pending</x:v>
      </x:c>
      <x:c r="E99" s="40" t="str">
        <x:v>Loans UI shell and generic loan workflow definition exist.</x:v>
      </x:c>
      <x:c r="F99" s="40" t="str">
        <x:v>Implement schedulers, eligibility, EMI/payroll postings, advances and SBI perquisite valuation as applicable. Import and reconcile legacy SAP balances.</x:v>
      </x:c>
      <x:c r="G99" s="40" t="str">
        <x:v>LN-01/02/03, PAY-13</x:v>
      </x:c>
      <x:c r="H99" s="40" t="str">
        <x:v>2.5</x:v>
      </x:c>
      <x:c r="I99" s="40" t="str">
        <x:v>plans/phase-2-payroll-statutory.md; backend/src/api/router.ts; frontend/src/pages/payroll/PayrollPage.tsx; frontend/src/pages/payroll/LoansPage.tsx</x:v>
      </x:c>
      <x:c r="J99" s="41" t="n">
        <x:v>1</x:v>
      </x:c>
      <x:c r="K99" s="41" t="n">
        <x:v>1</x:v>
      </x:c>
      <x:c r="L99" s="40"/>
      <x:c r="M99" s="42"/>
      <x:c r="N99" s="40"/>
      <x:c r="O99" s="40" t="str">
        <x:v>Main SOW business flow absent; any scaffolding is listed in What is done</x:v>
      </x:c>
      <x:c r="P99" s="40" t="str">
        <x:v>No additional completed business flow found beyond What is done. Plan/scaffolding alone does not establish completion.</x:v>
      </x:c>
    </x:row>
    <x:row r="100" ht="85" hidden="0" customHeight="1">
      <x:c r="A100" s="37" t="n">
        <x:v>122</x:v>
      </x:c>
      <x:c r="B100" s="37" t="str">
        <x:v>Payroll &amp; compliance</x:v>
      </x:c>
      <x:c r="C100" s="37" t="str">
        <x:v>vendor would calculate perquisites as per SBI lending rates. This is applicable only if the client provides the loan input to be recovered using vendor loan scheduler. If the client is giving the loan recovery amount month on month, then the client should provide the perquisite value.</x:v>
      </x:c>
      <x:c r="D100" s="37" t="str">
        <x:v>Pending</x:v>
      </x:c>
      <x:c r="E100" s="37" t="str">
        <x:v>Loans UI shell and generic loan workflow definition exist.</x:v>
      </x:c>
      <x:c r="F100" s="37" t="str">
        <x:v>Implement schedulers, eligibility, EMI/payroll postings, advances and SBI perquisite valuation as applicable. Import and reconcile legacy SAP balances.</x:v>
      </x:c>
      <x:c r="G100" s="37" t="str">
        <x:v>LN-01/02/03, PAY-13</x:v>
      </x:c>
      <x:c r="H100" s="37" t="str">
        <x:v>2.5</x:v>
      </x:c>
      <x:c r="I100" s="37" t="str">
        <x:v>plans/phase-2-payroll-statutory.md; backend/src/api/router.ts; frontend/src/pages/payroll/PayrollPage.tsx; frontend/src/pages/payroll/LoansPage.tsx</x:v>
      </x:c>
      <x:c r="J100" s="38" t="n">
        <x:v>1</x:v>
      </x:c>
      <x:c r="K100" s="38" t="n">
        <x:v>1</x:v>
      </x:c>
      <x:c r="L100" s="37"/>
      <x:c r="M100" s="39"/>
      <x:c r="N100" s="37"/>
      <x:c r="O100" s="37" t="str">
        <x:v>Main SOW business flow absent; any scaffolding is listed in What is done</x:v>
      </x:c>
      <x:c r="P100" s="37" t="str">
        <x:v>No additional completed business flow found beyond What is done. Plan/scaffolding alone does not establish completion.</x:v>
      </x:c>
    </x:row>
    <x:row r="101" ht="72" hidden="0" customHeight="1">
      <x:c r="A101" s="40" t="n">
        <x:v>123</x:v>
      </x:c>
      <x:c r="B101" s="40" t="str">
        <x:v>Payroll &amp; compliance</x:v>
      </x:c>
      <x:c r="C101" s="40" t="str">
        <x:v>In order to claim tax exemption for Home Loan &amp; Interest employees would need to submit relevant proof to claim under Section 24 during end of year process.</x:v>
      </x:c>
      <x:c r="D101" s="40" t="str">
        <x:v>Pending</x:v>
      </x:c>
      <x:c r="E101" s="40" t="str">
        <x:v>Declarations/proof workflow is specified.</x:v>
      </x:c>
      <x:c r="F101" s="40" t="str">
        <x:v>Build home-loan proof capture/verification and tax treatment; no declarations backend exists.</x:v>
      </x:c>
      <x:c r="G101" s="40" t="str">
        <x:v>PAY-13</x:v>
      </x:c>
      <x:c r="H101" s="40" t="str">
        <x:v>2.3</x:v>
      </x:c>
      <x:c r="I101" s="40" t="str">
        <x:v>plans/phase-2-payroll-statutory.md; backend/src/api/router.ts; frontend/src/pages/payroll/PayrollPage.tsx</x:v>
      </x:c>
      <x:c r="J101" s="41" t="n">
        <x:v>1</x:v>
      </x:c>
      <x:c r="K101" s="41" t="n">
        <x:v>1</x:v>
      </x:c>
      <x:c r="L101" s="40"/>
      <x:c r="M101" s="42"/>
      <x:c r="N101" s="40"/>
      <x:c r="O101" s="40" t="str">
        <x:v>Main SOW business flow absent; any scaffolding is listed in What is done</x:v>
      </x:c>
      <x:c r="P101" s="40" t="str">
        <x:v>No additional completed business flow found beyond What is done. Plan/scaffolding alone does not establish completion.</x:v>
      </x:c>
    </x:row>
    <x:row r="102" ht="72" hidden="0" customHeight="1">
      <x:c r="A102" s="37" t="n">
        <x:v>124</x:v>
      </x:c>
      <x:c r="B102" s="37" t="str">
        <x:v>Payroll &amp; compliance</x:v>
      </x:c>
      <x:c r="C102" s="37" t="str">
        <x:v>Deductions against Salary advance should be provided as monthly inputs.</x:v>
      </x:c>
      <x:c r="D102" s="37" t="str">
        <x:v>Pending</x:v>
      </x:c>
      <x:c r="E102" s="37" t="str">
        <x:v>Loans UI shell and generic loan workflow definition exist.</x:v>
      </x:c>
      <x:c r="F102" s="37" t="str">
        <x:v>Implement schedulers, eligibility, EMI/payroll postings, advances and SBI perquisite valuation as applicable. Import and reconcile legacy SAP balances.</x:v>
      </x:c>
      <x:c r="G102" s="37" t="str">
        <x:v>LN-01/02/03, PAY-13</x:v>
      </x:c>
      <x:c r="H102" s="37" t="str">
        <x:v>2.5</x:v>
      </x:c>
      <x:c r="I102" s="37" t="str">
        <x:v>plans/phase-2-payroll-statutory.md; backend/src/api/router.ts; frontend/src/pages/payroll/PayrollPage.tsx; frontend/src/pages/payroll/LoansPage.tsx</x:v>
      </x:c>
      <x:c r="J102" s="38" t="n">
        <x:v>1</x:v>
      </x:c>
      <x:c r="K102" s="38" t="n">
        <x:v>1</x:v>
      </x:c>
      <x:c r="L102" s="37"/>
      <x:c r="M102" s="39"/>
      <x:c r="N102" s="37"/>
      <x:c r="O102" s="37" t="str">
        <x:v>Main SOW business flow absent; any scaffolding is listed in What is done</x:v>
      </x:c>
      <x:c r="P102" s="37" t="str">
        <x:v>No additional completed business flow found beyond What is done. Plan/scaffolding alone does not establish completion.</x:v>
      </x:c>
    </x:row>
    <x:row r="103" ht="72" hidden="0" customHeight="1">
      <x:c r="A103" s="40" t="n">
        <x:v>125</x:v>
      </x:c>
      <x:c r="B103" s="40" t="str">
        <x:v>Payroll &amp; compliance</x:v>
      </x:c>
      <x:c r="C103" s="40" t="str">
        <x:v>Vendor will not liaise with any third parties to deduct or remit loans and advances.</x:v>
      </x:c>
      <x:c r="D103" s="40" t="str">
        <x:v>Manual / service</x:v>
      </x:c>
      <x:c r="E103" s="40" t="str">
        <x:v>This is a vendor limitation: no third-party loan liaison.</x:v>
      </x:c>
      <x:c r="F103" s="40" t="str">
        <x:v>Assign Finance/payroll responsibility for any third-party remittance. Not a software feature to mark built.</x:v>
      </x:c>
      <x:c r="G103" s="40" t="str">
        <x:v>SOW-5.5 exclusion</x:v>
      </x:c>
      <x:c r="H103" s="40" t="str">
        <x:v>Finance / service scope</x:v>
      </x:c>
      <x:c r="I103" s="40" t="str">
        <x:v>Documention_ProtiVity/SOW Tracker .xlsx; docs/01-REQUIREMENTS-PRD.md</x:v>
      </x:c>
      <x:c r="J103" s="41" t="n">
        <x:v>1</x:v>
      </x:c>
      <x:c r="K103" s="41" t="n">
        <x:v>1</x:v>
      </x:c>
      <x:c r="L103" s="40"/>
      <x:c r="M103" s="42"/>
      <x:c r="N103" s="40"/>
      <x:c r="O103" s="40" t="str">
        <x:v>External/manual completion cannot be proved from repository</x:v>
      </x:c>
      <x:c r="P103" s="40" t="str">
        <x:v>No additional completed business flow found beyond What is done. Plan/scaffolding alone does not establish completion.</x:v>
      </x:c>
    </x:row>
    <x:row r="104" ht="72" hidden="0" customHeight="1">
      <x:c r="A104" s="37" t="n">
        <x:v>127</x:v>
      </x:c>
      <x:c r="B104" s="37" t="str">
        <x:v>Payroll &amp; compliance</x:v>
      </x:c>
      <x:c r="C104" s="37" t="str">
        <x:v>Throughout the month through Client portal</x:v>
      </x:c>
      <x:c r="D104" s="37" t="str">
        <x:v>Pending</x:v>
      </x:c>
      <x:c r="E104" s="37" t="str">
        <x:v>Employee directory exists; candidate conversion is pending.</x:v>
      </x:c>
      <x:c r="F104" s="37" t="str">
        <x:v>Build approved new-joiner portal intake/conversion and salary availability.</x:v>
      </x:c>
      <x:c r="G104" s="37" t="str">
        <x:v>LC-01/02, PAY-07</x:v>
      </x:c>
      <x:c r="H104" s="37" t="str">
        <x:v>3.1 / 2.1</x:v>
      </x:c>
      <x:c r="I104" s="37" t="str">
        <x:v>plans/phase-3-lifecycle-assets-executive.md; backend/src/modules/lifecycle/lifecycle.router.ts; frontend/src/pages/lifecycle/LifecyclePage.tsx; plans/phase-2-payroll-statutory.md; backend/src/api/router.ts; frontend/src/pages/payroll/PayrollPage.tsx</x:v>
      </x:c>
      <x:c r="J104" s="38" t="n">
        <x:v>1</x:v>
      </x:c>
      <x:c r="K104" s="38" t="n">
        <x:v>1</x:v>
      </x:c>
      <x:c r="L104" s="37"/>
      <x:c r="M104" s="39"/>
      <x:c r="N104" s="37"/>
      <x:c r="O104" s="37" t="str">
        <x:v>Main SOW business flow absent; any scaffolding is listed in What is done</x:v>
      </x:c>
      <x:c r="P104" s="37" t="str">
        <x:v>No additional completed business flow found beyond What is done. Plan/scaffolding alone does not establish completion.</x:v>
      </x:c>
    </x:row>
    <x:row r="105" ht="72" hidden="0" customHeight="1">
      <x:c r="A105" s="40" t="n">
        <x:v>128</x:v>
      </x:c>
      <x:c r="B105" s="40" t="str">
        <x:v>Payroll &amp; compliance</x:v>
      </x:c>
      <x:c r="C105" s="40" t="str">
        <x:v>As part of monthly input through the excel format</x:v>
      </x:c>
      <x:c r="D105" s="40" t="str">
        <x:v>Partial</x:v>
      </x:c>
      <x:c r="E105" s="40" t="str">
        <x:v>JSON-row EMS seed/greytHR enrich functions and sample fixtures exist.</x:v>
      </x:c>
      <x:c r="F105" s="40" t="str">
        <x:v>Build/reconcile approved Excel monthly-new-joiner intake including payroll/salary data. Generic seed import is not that complete workflow.</x:v>
      </x:c>
      <x:c r="G105" s="40" t="str">
        <x:v>CORE-12, PAY-07</x:v>
      </x:c>
      <x:c r="H105" s="40" t="str">
        <x:v>0.5 / 2.1 / 3.1</x:v>
      </x:c>
      <x:c r="I105" s="40" t="str">
        <x:v>backend/src/modules/employees/import.service.ts; backend/src/modules/employees/import.schemas.ts; plans/phase-0-foundations.md; plans/phase-2-payroll-statutory.md; backend/src/api/router.ts; frontend/src/pages/payroll/PayrollPage.tsx</x:v>
      </x:c>
      <x:c r="J105" s="41" t="n">
        <x:v>1</x:v>
      </x:c>
      <x:c r="K105" s="41" t="n">
        <x:v>1</x:v>
      </x:c>
      <x:c r="L105" s="40"/>
      <x:c r="M105" s="42"/>
      <x:c r="N105" s="40"/>
      <x:c r="O105" s="40" t="str">
        <x:v>Supporting implementation exists; exact SOW point incomplete</x:v>
      </x:c>
      <x:c r="P105" s="40" t="str">
        <x:v>Code credited independently of plan checkboxes. See What is done, What remains and repository evidence.</x:v>
      </x:c>
    </x:row>
    <x:row r="106" ht="72" hidden="0" customHeight="1">
      <x:c r="A106" s="37" t="n">
        <x:v>129</x:v>
      </x:c>
      <x:c r="B106" s="37" t="str">
        <x:v>Payroll &amp; compliance</x:v>
      </x:c>
      <x:c r="C106" s="37" t="str">
        <x:v>Through HR connector if integration is in scope</x:v>
      </x:c>
      <x:c r="D106" s="37" t="str">
        <x:v>Pending</x:v>
      </x:c>
      <x:c r="E106" s="37" t="str">
        <x:v>Connector-based ATS handoff is planned.</x:v>
      </x:c>
      <x:c r="F106" s="37" t="str">
        <x:v>Implement agreed HR connector/ATS joined-list sync and mapping.</x:v>
      </x:c>
      <x:c r="G106" s="37" t="str">
        <x:v>LC-01, PAY-07</x:v>
      </x:c>
      <x:c r="H106" s="37" t="str">
        <x:v>3.1 / 4</x:v>
      </x:c>
      <x:c r="I106" s="37" t="str">
        <x:v>plans/phase-3-lifecycle-assets-executive.md; backend/src/modules/lifecycle/lifecycle.router.ts; frontend/src/pages/lifecycle/LifecyclePage.tsx; plans/phase-4-ats-absorption.md</x:v>
      </x:c>
      <x:c r="J106" s="38" t="n">
        <x:v>1</x:v>
      </x:c>
      <x:c r="K106" s="38" t="n">
        <x:v>1</x:v>
      </x:c>
      <x:c r="L106" s="37"/>
      <x:c r="M106" s="39"/>
      <x:c r="N106" s="37"/>
      <x:c r="O106" s="37" t="str">
        <x:v>Main SOW business flow absent; any scaffolding is listed in What is done</x:v>
      </x:c>
      <x:c r="P106" s="37" t="str">
        <x:v>No additional completed business flow found beyond What is done. Plan/scaffolding alone does not establish completion.</x:v>
      </x:c>
    </x:row>
    <x:row r="107" ht="72" hidden="0" customHeight="1">
      <x:c r="A107" s="40" t="n">
        <x:v>130</x:v>
      </x:c>
      <x:c r="B107" s="40" t="str">
        <x:v>Payroll &amp; compliance</x:v>
      </x:c>
      <x:c r="C107" s="40" t="str">
        <x:v>New joiner details for the purpose of ESI IP generation need to be provided by the client once in a week. Flexi would be activated for new joiners after the first month payroll is processed.</x:v>
      </x:c>
      <x:c r="D107" s="40" t="str">
        <x:v>Manual / service</x:v>
      </x:c>
      <x:c r="E107" s="40" t="str">
        <x:v>Weekly ESI IP creation and flexi activation timing are vendor operating terms.</x:v>
      </x:c>
      <x:c r="F107" s="40" t="str">
        <x:v>Assign an owner and record weekly submission/portal proof. Any flexi activation feature still needs the pending payroll/benefit implementation.</x:v>
      </x:c>
      <x:c r="G107" s="40" t="str">
        <x:v>PAY-10, LC-02</x:v>
      </x:c>
      <x:c r="H107" s="40" t="str">
        <x:v>HR / payroll operations</x:v>
      </x:c>
      <x:c r="I107" s="40" t="str">
        <x:v>Documention_ProtiVity/SOW Tracker .xlsx; docs/10-INDIA-PAYROLL-STATUTORY-REFERENCE.md</x:v>
      </x:c>
      <x:c r="J107" s="41" t="n">
        <x:v>1</x:v>
      </x:c>
      <x:c r="K107" s="41" t="n">
        <x:v>1</x:v>
      </x:c>
      <x:c r="L107" s="40"/>
      <x:c r="M107" s="42"/>
      <x:c r="N107" s="40"/>
      <x:c r="O107" s="40" t="str">
        <x:v>External/manual completion cannot be proved from repository</x:v>
      </x:c>
      <x:c r="P107" s="40" t="str">
        <x:v>No additional completed business flow found beyond What is done. Plan/scaffolding alone does not establish completion.</x:v>
      </x:c>
    </x:row>
    <x:row r="108" ht="100" hidden="0" customHeight="1">
      <x:c r="A108" s="37" t="n">
        <x:v>132</x:v>
      </x:c>
      <x:c r="B108" s="37" t="str">
        <x:v>Payroll &amp; compliance</x:v>
      </x:c>
      <x:c r="C108" s="37" t="str">
        <x:v>When client approves new joiner inputs via client portal</x:v>
      </x:c>
      <x:c r="D108" s="37" t="str">
        <x:v>Pending</x:v>
      </x:c>
      <x:c r="E108" s="37" t="str">
        <x:v>Seed import can create a login when source email/password hash is present.</x:v>
      </x:c>
      <x:c r="F108" s="37" t="str">
        <x:v>Implement rule-driven new-joiner ESS activation on approved intake/first payroll/connector interval; verify access lifecycle.</x:v>
      </x:c>
      <x:c r="G108" s="37" t="str">
        <x:v>LC-02, PAY-07, NFR-03</x:v>
      </x:c>
      <x:c r="H108" s="37" t="str">
        <x:v>3.1 / 2</x:v>
      </x:c>
      <x:c r="I108" s="37" t="str">
        <x:v>backend/src/modules/employees/import.service.ts; backend/src/modules/employees/import.schemas.ts; plans/phase-0-foundations.md; plans/phase-3-lifecycle-assets-executive.md; backend/src/modules/lifecycle/lifecycle.router.ts; frontend/src/pages/lifecycle/LifecyclePage.tsx; plans/phase-2-payroll-statutory.md; backend/src/api/router.ts; frontend/src/pages/payroll/PayrollPage.tsx</x:v>
      </x:c>
      <x:c r="J108" s="38" t="n">
        <x:v>1</x:v>
      </x:c>
      <x:c r="K108" s="38" t="n">
        <x:v>1</x:v>
      </x:c>
      <x:c r="L108" s="37"/>
      <x:c r="M108" s="39"/>
      <x:c r="N108" s="37"/>
      <x:c r="O108" s="37" t="str">
        <x:v>Main SOW business flow absent; any scaffolding is listed in What is done</x:v>
      </x:c>
      <x:c r="P108" s="37" t="str">
        <x:v>No additional completed business flow found beyond What is done. Plan/scaffolding alone does not establish completion.</x:v>
      </x:c>
    </x:row>
    <x:row r="109" ht="100" hidden="0" customHeight="1">
      <x:c r="A109" s="40" t="n">
        <x:v>133</x:v>
      </x:c>
      <x:c r="B109" s="40" t="str">
        <x:v>Payroll &amp; compliance</x:v>
      </x:c>
      <x:c r="C109" s="40" t="str">
        <x:v>After first month payroll is processed if inputs are provided through excel format</x:v>
      </x:c>
      <x:c r="D109" s="40" t="str">
        <x:v>Pending</x:v>
      </x:c>
      <x:c r="E109" s="40" t="str">
        <x:v>Seed import can create a login when source email/password hash is present.</x:v>
      </x:c>
      <x:c r="F109" s="40" t="str">
        <x:v>Implement rule-driven new-joiner ESS activation on approved intake/first payroll/connector interval; verify access lifecycle.</x:v>
      </x:c>
      <x:c r="G109" s="40" t="str">
        <x:v>LC-02, PAY-07, NFR-03</x:v>
      </x:c>
      <x:c r="H109" s="40" t="str">
        <x:v>3.1 / 2</x:v>
      </x:c>
      <x:c r="I109" s="40" t="str">
        <x:v>backend/src/modules/employees/import.service.ts; backend/src/modules/employees/import.schemas.ts; plans/phase-0-foundations.md; plans/phase-3-lifecycle-assets-executive.md; backend/src/modules/lifecycle/lifecycle.router.ts; frontend/src/pages/lifecycle/LifecyclePage.tsx; plans/phase-2-payroll-statutory.md; backend/src/api/router.ts; frontend/src/pages/payroll/PayrollPage.tsx</x:v>
      </x:c>
      <x:c r="J109" s="41" t="n">
        <x:v>1</x:v>
      </x:c>
      <x:c r="K109" s="41" t="n">
        <x:v>1</x:v>
      </x:c>
      <x:c r="L109" s="40"/>
      <x:c r="M109" s="42"/>
      <x:c r="N109" s="40"/>
      <x:c r="O109" s="40" t="str">
        <x:v>Main SOW business flow absent; any scaffolding is listed in What is done</x:v>
      </x:c>
      <x:c r="P109" s="40" t="str">
        <x:v>No additional completed business flow found beyond What is done. Plan/scaffolding alone does not establish completion.</x:v>
      </x:c>
    </x:row>
    <x:row r="110" ht="100" hidden="0" customHeight="1">
      <x:c r="A110" s="37" t="n">
        <x:v>134</x:v>
      </x:c>
      <x:c r="B110" s="37" t="str">
        <x:v>Payroll &amp; compliance</x:v>
      </x:c>
      <x:c r="C110" s="37" t="str">
        <x:v>At agreed interval if new joiner information is provided via HR connector</x:v>
      </x:c>
      <x:c r="D110" s="37" t="str">
        <x:v>Pending</x:v>
      </x:c>
      <x:c r="E110" s="37" t="str">
        <x:v>Seed import can create a login when source email/password hash is present.</x:v>
      </x:c>
      <x:c r="F110" s="37" t="str">
        <x:v>Implement rule-driven new-joiner ESS activation on approved intake/first payroll/connector interval; verify access lifecycle.</x:v>
      </x:c>
      <x:c r="G110" s="37" t="str">
        <x:v>LC-02, PAY-07, NFR-03</x:v>
      </x:c>
      <x:c r="H110" s="37" t="str">
        <x:v>3.1 / 2</x:v>
      </x:c>
      <x:c r="I110" s="37" t="str">
        <x:v>backend/src/modules/employees/import.service.ts; backend/src/modules/employees/import.schemas.ts; plans/phase-0-foundations.md; plans/phase-3-lifecycle-assets-executive.md; backend/src/modules/lifecycle/lifecycle.router.ts; frontend/src/pages/lifecycle/LifecyclePage.tsx; plans/phase-2-payroll-statutory.md; backend/src/api/router.ts; frontend/src/pages/payroll/PayrollPage.tsx</x:v>
      </x:c>
      <x:c r="J110" s="38" t="n">
        <x:v>1</x:v>
      </x:c>
      <x:c r="K110" s="38" t="n">
        <x:v>1</x:v>
      </x:c>
      <x:c r="L110" s="37"/>
      <x:c r="M110" s="39"/>
      <x:c r="N110" s="37"/>
      <x:c r="O110" s="37" t="str">
        <x:v>Main SOW business flow absent; any scaffolding is listed in What is done</x:v>
      </x:c>
      <x:c r="P110" s="37" t="str">
        <x:v>No additional completed business flow found beyond What is done. Plan/scaffolding alone does not establish completion.</x:v>
      </x:c>
    </x:row>
    <x:row r="111" ht="115" hidden="0" customHeight="1">
      <x:c r="A111" s="40" t="n">
        <x:v>136</x:v>
      </x:c>
      <x:c r="B111" s="40" t="str">
        <x:v>Payroll &amp; compliance</x:v>
      </x:c>
      <x:c r="C111" s="40" t="str">
        <x:v>Scenario 1 (Payment hold) - To hold payment of any specific salary(s) vendor will process salary as instructed by the Rashmi Metaliks Limited. The salary transfer details in bank file will be removed. All statutory payments (PF, PT, ESI, LWF) would be remitted normally. In order to release the salary, Protiviti implant should add the net pay value of the employee as part of respective month's input</x:v>
      </x:c>
      <x:c r="D111" s="40" t="str">
        <x:v>Pending</x:v>
      </x:c>
      <x:c r="E111" s="40" t="str">
        <x:v>Salary hold scenarios are documented only.</x:v>
      </x:c>
      <x:c r="F111" s="40" t="str">
        <x:v>Build the exact payment-hold/process-hold behavior, statutory continuity, bank exclusions, releases and LOP reversals.</x:v>
      </x:c>
      <x:c r="G111" s="40" t="str">
        <x:v>PAY-08</x:v>
      </x:c>
      <x:c r="H111" s="40" t="str">
        <x:v>2.2 / 2.4</x:v>
      </x:c>
      <x:c r="I111" s="40" t="str">
        <x:v>plans/phase-2-payroll-statutory.md; backend/src/api/router.ts; frontend/src/pages/payroll/PayrollPage.tsx</x:v>
      </x:c>
      <x:c r="J111" s="41" t="n">
        <x:v>1</x:v>
      </x:c>
      <x:c r="K111" s="41" t="n">
        <x:v>1</x:v>
      </x:c>
      <x:c r="L111" s="40"/>
      <x:c r="M111" s="42"/>
      <x:c r="N111" s="40"/>
      <x:c r="O111" s="40" t="str">
        <x:v>Main SOW business flow absent; any scaffolding is listed in What is done</x:v>
      </x:c>
      <x:c r="P111" s="40" t="str">
        <x:v>No additional completed business flow found beyond What is done. Plan/scaffolding alone does not establish completion.</x:v>
      </x:c>
    </x:row>
    <x:row r="112" ht="115" hidden="0" customHeight="1">
      <x:c r="A112" s="37" t="n">
        <x:v>137</x:v>
      </x:c>
      <x:c r="B112" s="37" t="str">
        <x:v>Payroll &amp; compliance</x:v>
      </x:c>
      <x:c r="C112" s="37" t="str">
        <x:v>Scenario 2 (Process hold) - To hold processing of any specific salary(s) for absconding employees, etc., the Protiviti should include full month LOP input for this employee until the defined date. If the defined date is not known, Protiviti to give LOP input month on month. In order to release the salary, Protiviti should provide LOP reversal inputs in the respective month of release.</x:v>
      </x:c>
      <x:c r="D112" s="37" t="str">
        <x:v>Pending</x:v>
      </x:c>
      <x:c r="E112" s="37" t="str">
        <x:v>Salary hold scenarios are documented only.</x:v>
      </x:c>
      <x:c r="F112" s="37" t="str">
        <x:v>Build the exact payment-hold/process-hold behavior, statutory continuity, bank exclusions, releases and LOP reversals.</x:v>
      </x:c>
      <x:c r="G112" s="37" t="str">
        <x:v>PAY-08</x:v>
      </x:c>
      <x:c r="H112" s="37" t="str">
        <x:v>2.2 / 2.4</x:v>
      </x:c>
      <x:c r="I112" s="37" t="str">
        <x:v>plans/phase-2-payroll-statutory.md; backend/src/api/router.ts; frontend/src/pages/payroll/PayrollPage.tsx</x:v>
      </x:c>
      <x:c r="J112" s="38" t="n">
        <x:v>1</x:v>
      </x:c>
      <x:c r="K112" s="38" t="n">
        <x:v>1</x:v>
      </x:c>
      <x:c r="L112" s="37"/>
      <x:c r="M112" s="39"/>
      <x:c r="N112" s="37"/>
      <x:c r="O112" s="37" t="str">
        <x:v>Main SOW business flow absent; any scaffolding is listed in What is done</x:v>
      </x:c>
      <x:c r="P112" s="37" t="str">
        <x:v>No additional completed business flow found beyond What is done. Plan/scaffolding alone does not establish completion.</x:v>
      </x:c>
    </x:row>
    <x:row r="113" ht="72" hidden="0" customHeight="1">
      <x:c r="A113" s="40" t="n">
        <x:v>139</x:v>
      </x:c>
      <x:c r="B113" s="40" t="str">
        <x:v>Payroll &amp; compliance</x:v>
      </x:c>
      <x:c r="C113" s="40" t="str">
        <x:v>Vendor would provide documentation support for any internal Audits and third-party requirements</x:v>
      </x:c>
      <x:c r="D113" s="40" t="str">
        <x:v>Partial</x:v>
      </x:c>
      <x:c r="E113" s="40" t="str">
        <x:v>Append-only audit and several exports exist.</x:v>
      </x:c>
      <x:c r="F113" s="40" t="str">
        <x:v>Complete payroll audit records/evidence and document actual internal/third-party audit support. Source code is not proof of vendor service delivery.</x:v>
      </x:c>
      <x:c r="G113" s="40" t="str">
        <x:v>CORE-11, RPT-06, PAY-18</x:v>
      </x:c>
      <x:c r="H113" s="40" t="str">
        <x:v>0.4 / 2 / service scope</x:v>
      </x:c>
      <x:c r="I113" s="40" t="str">
        <x:v>backend/src/core/audit/audit.service.ts; backend/src/modules/reports/reports-export.service.ts; plans/phase-2-payroll-statutory.md; backend/src/api/router.ts; frontend/src/pages/payroll/PayrollPage.tsx</x:v>
      </x:c>
      <x:c r="J113" s="41" t="n">
        <x:v>1</x:v>
      </x:c>
      <x:c r="K113" s="41" t="n">
        <x:v>1</x:v>
      </x:c>
      <x:c r="L113" s="40"/>
      <x:c r="M113" s="42"/>
      <x:c r="N113" s="40"/>
      <x:c r="O113" s="40" t="str">
        <x:v>Supporting implementation exists; exact SOW point incomplete</x:v>
      </x:c>
      <x:c r="P113" s="40" t="str">
        <x:v>Code credited independently of plan checkboxes. See What is done, What remains and repository evidence.</x:v>
      </x:c>
    </x:row>
    <x:row r="114" ht="72" hidden="0" customHeight="1">
      <x:c r="A114" s="37" t="n">
        <x:v>140</x:v>
      </x:c>
      <x:c r="B114" s="37" t="str">
        <x:v>Payroll &amp; compliance</x:v>
      </x:c>
      <x:c r="C114" s="37" t="str">
        <x:v>Any data / reports requirement to support audit needs to be shared in advance with vendor and turnaround time to deliver will be mutually agreed.</x:v>
      </x:c>
      <x:c r="D114" s="37" t="str">
        <x:v>Manual / service</x:v>
      </x:c>
      <x:c r="E114" s="37" t="str">
        <x:v>Advance report notice/turnaround agreement is an operating clause.</x:v>
      </x:c>
      <x:c r="F114" s="37" t="str">
        <x:v>Record requested report, agreed turnaround and delivery evidence with responsible HR/payroll owner.</x:v>
      </x:c>
      <x:c r="G114" s="37" t="str">
        <x:v>SOW-5.8 service term</x:v>
      </x:c>
      <x:c r="H114" s="37" t="str">
        <x:v>HR / payroll operations</x:v>
      </x:c>
      <x:c r="I114" s="37" t="str">
        <x:v>Documention_ProtiVity/SOW Tracker .xlsx</x:v>
      </x:c>
      <x:c r="J114" s="38" t="n">
        <x:v>1</x:v>
      </x:c>
      <x:c r="K114" s="38" t="n">
        <x:v>1</x:v>
      </x:c>
      <x:c r="L114" s="37"/>
      <x:c r="M114" s="39"/>
      <x:c r="N114" s="37"/>
      <x:c r="O114" s="37" t="str">
        <x:v>External/manual completion cannot be proved from repository</x:v>
      </x:c>
      <x:c r="P114" s="37" t="str">
        <x:v>No additional completed business flow found beyond What is done. Plan/scaffolding alone does not establish completion.</x:v>
      </x:c>
    </x:row>
    <x:row r="115" ht="72" hidden="0" customHeight="1">
      <x:c r="A115" s="40" t="n">
        <x:v>141</x:v>
      </x:c>
      <x:c r="B115" s="40" t="str">
        <x:v>Payroll &amp; compliance</x:v>
      </x:c>
      <x:c r="C115" s="40" t="str">
        <x:v>Payroll processing for Interns / Trainees and apply statutory contributions (including tax) as applicable.</x:v>
      </x:c>
      <x:c r="D115" s="40" t="str">
        <x:v>Pending</x:v>
      </x:c>
      <x:c r="E115" s="40" t="str">
        <x:v>Trainee/category flags exist; stipend payroll does not.</x:v>
      </x:c>
      <x:c r="F115" s="40" t="str">
        <x:v>Build trainee/apprentice payroll and explicit applicability rules. Resolve SOW blanket statutory exclusion against doc 10 §9 before implementation.</x:v>
      </x:c>
      <x:c r="G115" s="40" t="str">
        <x:v>PAY-14, CORE-05</x:v>
      </x:c>
      <x:c r="H115" s="40" t="str">
        <x:v>2.3 / policy review</x:v>
      </x:c>
      <x:c r="I115" s="40" t="str">
        <x:v>plans/phase-2-payroll-statutory.md; backend/src/api/router.ts; frontend/src/pages/payroll/PayrollPage.tsx; docs/10-INDIA-PAYROLL-STATUTORY-REFERENCE.md</x:v>
      </x:c>
      <x:c r="J115" s="41" t="n">
        <x:v>1</x:v>
      </x:c>
      <x:c r="K115" s="41" t="n">
        <x:v>1</x:v>
      </x:c>
      <x:c r="L115" s="40"/>
      <x:c r="M115" s="42"/>
      <x:c r="N115" s="40"/>
      <x:c r="O115" s="40" t="str">
        <x:v>Main SOW business flow absent; any scaffolding is listed in What is done</x:v>
      </x:c>
      <x:c r="P115" s="40" t="str">
        <x:v>No additional completed business flow found beyond What is done. Plan/scaffolding alone does not establish completion.</x:v>
      </x:c>
    </x:row>
    <x:row r="116" ht="72" hidden="0" customHeight="1">
      <x:c r="A116" s="37" t="n">
        <x:v>142</x:v>
      </x:c>
      <x:c r="B116" s="37" t="str">
        <x:v>Payroll &amp; compliance</x:v>
      </x:c>
      <x:c r="C116" s="37" t="str">
        <x:v>Payroll processing for Apprentice as per the Apprenticeship act without any statutory deduction.</x:v>
      </x:c>
      <x:c r="D116" s="37" t="str">
        <x:v>Pending</x:v>
      </x:c>
      <x:c r="E116" s="37" t="str">
        <x:v>Trainee/category flags exist; stipend payroll does not.</x:v>
      </x:c>
      <x:c r="F116" s="37" t="str">
        <x:v>Build trainee/apprentice payroll and explicit applicability rules. Resolve SOW blanket statutory exclusion against doc 10 §9 before implementation.</x:v>
      </x:c>
      <x:c r="G116" s="37" t="str">
        <x:v>PAY-14, CORE-05</x:v>
      </x:c>
      <x:c r="H116" s="37" t="str">
        <x:v>2.3 / policy review</x:v>
      </x:c>
      <x:c r="I116" s="37" t="str">
        <x:v>plans/phase-2-payroll-statutory.md; backend/src/api/router.ts; frontend/src/pages/payroll/PayrollPage.tsx; docs/10-INDIA-PAYROLL-STATUTORY-REFERENCE.md</x:v>
      </x:c>
      <x:c r="J116" s="38" t="n">
        <x:v>1</x:v>
      </x:c>
      <x:c r="K116" s="38" t="n">
        <x:v>1</x:v>
      </x:c>
      <x:c r="L116" s="37"/>
      <x:c r="M116" s="39"/>
      <x:c r="N116" s="37"/>
      <x:c r="O116" s="37" t="str">
        <x:v>Main SOW business flow absent; any scaffolding is listed in What is done</x:v>
      </x:c>
      <x:c r="P116" s="37" t="str">
        <x:v>No additional completed business flow found beyond What is done. Plan/scaffolding alone does not establish completion.</x:v>
      </x:c>
    </x:row>
    <x:row r="117" ht="72" hidden="0" customHeight="1">
      <x:c r="A117" s="40" t="n">
        <x:v>143</x:v>
      </x:c>
      <x:c r="B117" s="40" t="str">
        <x:v>Payroll &amp; compliance</x:v>
      </x:c>
      <x:c r="C117" s="40" t="str">
        <x:v>Additional ad hoc/On Demand reports can be provided by vendor subject to feasibility. Timeline to build the report and commercials to be mutually agreed.</x:v>
      </x:c>
      <x:c r="D117" s="40" t="str">
        <x:v>Scope decision</x:v>
      </x:c>
      <x:c r="E117" s="40" t="str">
        <x:v>Fixed specified reports exist; no general ad-hoc report builder.</x:v>
      </x:c>
      <x:c r="F117" s="40" t="str">
        <x:v>Agree each additional report, columns, feasibility and service/commercial terms. This clause does not authorize inventing a report-builder scope.</x:v>
      </x:c>
      <x:c r="G117" s="40" t="str">
        <x:v>RPT-06; SOW-5.8 service term</x:v>
      </x:c>
      <x:c r="H117" s="40" t="str">
        <x:v>Scope review</x:v>
      </x:c>
      <x:c r="I117" s="40" t="str">
        <x:v>Documention_ProtiVity/SOW Tracker .xlsx; docs/06-REPORTS-AND-DASHBOARDS.md</x:v>
      </x:c>
      <x:c r="J117" s="41" t="n">
        <x:v>1</x:v>
      </x:c>
      <x:c r="K117" s="41" t="n">
        <x:v>1</x:v>
      </x:c>
      <x:c r="L117" s="40"/>
      <x:c r="M117" s="42"/>
      <x:c r="N117" s="40"/>
      <x:c r="O117" s="40" t="str">
        <x:v>Ambiguous/excluded scope; code does not settle the decision</x:v>
      </x:c>
      <x:c r="P117" s="40" t="str">
        <x:v>No additional completed business flow found beyond What is done. Plan/scaffolding alone does not establish completion.</x:v>
      </x:c>
    </x:row>
    <x:row r="118" ht="72" hidden="0" customHeight="1">
      <x:c r="A118" s="37" t="n">
        <x:v>145</x:v>
      </x:c>
      <x:c r="B118" s="37" t="str">
        <x:v>Payroll &amp; compliance</x:v>
      </x:c>
      <x:c r="C118" s="37" t="str">
        <x:v>Monthly Income TDS deductions and tax reporting</x:v>
      </x:c>
      <x:c r="D118" s="37" t="str">
        <x:v>Pending</x:v>
      </x:c>
      <x:c r="E118" s="37" t="str">
        <x:v>TDS/declaration/24Q/Form16/challan reconciliation are specified.</x:v>
      </x:c>
      <x:c r="F118" s="37" t="str">
        <x:v>Build TDS calculations and row-specific output/reconciliation; confirm coverage beyond source note white collars. Humans file portal outputs.</x:v>
      </x:c>
      <x:c r="G118" s="37" t="str">
        <x:v>PAY-13</x:v>
      </x:c>
      <x:c r="H118" s="37" t="str">
        <x:v>2.3 / 2.4 / 2.6</x:v>
      </x:c>
      <x:c r="I118" s="37" t="str">
        <x:v>plans/phase-2-payroll-statutory.md; backend/src/api/router.ts; frontend/src/pages/payroll/PayrollPage.tsx</x:v>
      </x:c>
      <x:c r="J118" s="38" t="n">
        <x:v>1</x:v>
      </x:c>
      <x:c r="K118" s="38" t="n">
        <x:v>1</x:v>
      </x:c>
      <x:c r="L118" s="37" t="str">
        <x:v>Handling only white collars</x:v>
      </x:c>
      <x:c r="M118" s="39"/>
      <x:c r="N118" s="37"/>
      <x:c r="O118" s="37" t="str">
        <x:v>Main SOW business flow absent; any scaffolding is listed in What is done</x:v>
      </x:c>
      <x:c r="P118" s="37" t="str">
        <x:v>No additional completed business flow found beyond What is done. Plan/scaffolding alone does not establish completion.</x:v>
      </x:c>
    </x:row>
    <x:row r="119" ht="72" hidden="0" customHeight="1">
      <x:c r="A119" s="40" t="n">
        <x:v>146</x:v>
      </x:c>
      <x:c r="B119" s="40" t="str">
        <x:v>Payroll &amp; compliance</x:v>
      </x:c>
      <x:c r="C119" s="40" t="str">
        <x:v>Quarterly filings (Form 24Q) &amp; Annual Form 16 generation</x:v>
      </x:c>
      <x:c r="D119" s="40" t="str">
        <x:v>Pending</x:v>
      </x:c>
      <x:c r="E119" s="40" t="str">
        <x:v>TDS/declaration/24Q/Form16/challan reconciliation are specified.</x:v>
      </x:c>
      <x:c r="F119" s="40" t="str">
        <x:v>Build TDS calculations and row-specific output/reconciliation; confirm coverage beyond source note white collars. Humans file portal outputs.</x:v>
      </x:c>
      <x:c r="G119" s="40" t="str">
        <x:v>PAY-13</x:v>
      </x:c>
      <x:c r="H119" s="40" t="str">
        <x:v>2.3 / 2.4 / 2.6</x:v>
      </x:c>
      <x:c r="I119" s="40" t="str">
        <x:v>plans/phase-2-payroll-statutory.md; backend/src/api/router.ts; frontend/src/pages/payroll/PayrollPage.tsx</x:v>
      </x:c>
      <x:c r="J119" s="41" t="n">
        <x:v>1</x:v>
      </x:c>
      <x:c r="K119" s="41" t="n">
        <x:v>1</x:v>
      </x:c>
      <x:c r="L119" s="40"/>
      <x:c r="M119" s="42"/>
      <x:c r="N119" s="40"/>
      <x:c r="O119" s="40" t="str">
        <x:v>Main SOW business flow absent; any scaffolding is listed in What is done</x:v>
      </x:c>
      <x:c r="P119" s="40" t="str">
        <x:v>No additional completed business flow found beyond What is done. Plan/scaffolding alone does not establish completion.</x:v>
      </x:c>
    </x:row>
    <x:row r="120" ht="72" hidden="0" customHeight="1">
      <x:c r="A120" s="37" t="n">
        <x:v>147</x:v>
      </x:c>
      <x:c r="B120" s="37" t="str">
        <x:v>Payroll &amp; compliance</x:v>
      </x:c>
      <x:c r="C120" s="37" t="str">
        <x:v>Reconciliation of tax deductions vs. paid challans</x:v>
      </x:c>
      <x:c r="D120" s="37" t="str">
        <x:v>Pending</x:v>
      </x:c>
      <x:c r="E120" s="37" t="str">
        <x:v>TDS/declaration/24Q/Form16/challan reconciliation are specified.</x:v>
      </x:c>
      <x:c r="F120" s="37" t="str">
        <x:v>Build TDS calculations and row-specific output/reconciliation; confirm coverage beyond source note white collars. Humans file portal outputs.</x:v>
      </x:c>
      <x:c r="G120" s="37" t="str">
        <x:v>PAY-13</x:v>
      </x:c>
      <x:c r="H120" s="37" t="str">
        <x:v>2.3 / 2.4 / 2.6</x:v>
      </x:c>
      <x:c r="I120" s="37" t="str">
        <x:v>plans/phase-2-payroll-statutory.md; backend/src/api/router.ts; frontend/src/pages/payroll/PayrollPage.tsx</x:v>
      </x:c>
      <x:c r="J120" s="38" t="n">
        <x:v>1</x:v>
      </x:c>
      <x:c r="K120" s="38" t="n">
        <x:v>1</x:v>
      </x:c>
      <x:c r="L120" s="37"/>
      <x:c r="M120" s="39"/>
      <x:c r="N120" s="37"/>
      <x:c r="O120" s="37" t="str">
        <x:v>Main SOW business flow absent; any scaffolding is listed in What is done</x:v>
      </x:c>
      <x:c r="P120" s="37" t="str">
        <x:v>No additional completed business flow found beyond What is done. Plan/scaffolding alone does not establish completion.</x:v>
      </x:c>
    </x:row>
    <x:row r="121" ht="72" hidden="0" customHeight="1">
      <x:c r="A121" s="40" t="n">
        <x:v>149</x:v>
      </x:c>
      <x:c r="B121" s="40" t="str">
        <x:v>Payroll &amp; compliance</x:v>
      </x:c>
      <x:c r="C121" s="40" t="str">
        <x:v>UAN generation &amp; KYC updating.</x:v>
      </x:c>
      <x:c r="D121" s="40" t="str">
        <x:v>Manual / service</x:v>
      </x:c>
      <x:c r="E121" s="40" t="str">
        <x:v>These are government-portal updates, claims, inspection assistance or legislative-monitoring services. No service completion evidence was audited.</x:v>
      </x:c>
      <x:c r="F121" s="40" t="str">
        <x:v>Assign compliance owner and retain portal acknowledgment/claim/notice evidence. HRMS file generation does not discharge these human duties.</x:v>
      </x:c>
      <x:c r="G121" s="40" t="str">
        <x:v>PAY-09; statutory operations</x:v>
      </x:c>
      <x:c r="H121" s="40" t="str">
        <x:v>Compliance operations</x:v>
      </x:c>
      <x:c r="I121" s="40" t="str">
        <x:v>Documention_ProtiVity/SOW Tracker .xlsx; docs/10-INDIA-PAYROLL-STATUTORY-REFERENCE.md</x:v>
      </x:c>
      <x:c r="J121" s="41" t="n">
        <x:v>1</x:v>
      </x:c>
      <x:c r="K121" s="41" t="n">
        <x:v>1</x:v>
      </x:c>
      <x:c r="L121" s="40"/>
      <x:c r="M121" s="42"/>
      <x:c r="N121" s="40"/>
      <x:c r="O121" s="40" t="str">
        <x:v>External/manual completion cannot be proved from repository</x:v>
      </x:c>
      <x:c r="P121" s="40" t="str">
        <x:v>No additional completed business flow found beyond What is done. Plan/scaffolding alone does not establish completion.</x:v>
      </x:c>
    </x:row>
    <x:row r="122" ht="72" hidden="0" customHeight="1">
      <x:c r="A122" s="37" t="n">
        <x:v>150</x:v>
      </x:c>
      <x:c r="B122" s="37" t="str">
        <x:v>Payroll &amp; compliance</x:v>
      </x:c>
      <x:c r="C122" s="37" t="str">
        <x:v>PF challan &amp; return filing</x:v>
      </x:c>
      <x:c r="D122" s="37" t="str">
        <x:v>Pending</x:v>
      </x:c>
      <x:c r="E122" s="37" t="str">
        <x:v>PF register/ECR generation is specified, not implemented.</x:v>
      </x:c>
      <x:c r="F122" s="37" t="str">
        <x:v>Build PF/ECR output and acceptance checks; named compliance owner uploads/pays and retains challan/return acknowledgment.</x:v>
      </x:c>
      <x:c r="G122" s="37" t="str">
        <x:v>PAY-09</x:v>
      </x:c>
      <x:c r="H122" s="37" t="str">
        <x:v>2.3 / compliance operations</x:v>
      </x:c>
      <x:c r="I122" s="37" t="str">
        <x:v>plans/phase-2-payroll-statutory.md; backend/src/api/router.ts; frontend/src/pages/payroll/PayrollPage.tsx; docs/10-INDIA-PAYROLL-STATUTORY-REFERENCE.md</x:v>
      </x:c>
      <x:c r="J122" s="38" t="n">
        <x:v>1</x:v>
      </x:c>
      <x:c r="K122" s="38" t="n">
        <x:v>1</x:v>
      </x:c>
      <x:c r="L122" s="37"/>
      <x:c r="M122" s="39"/>
      <x:c r="N122" s="37"/>
      <x:c r="O122" s="37" t="str">
        <x:v>Main SOW business flow absent; any scaffolding is listed in What is done</x:v>
      </x:c>
      <x:c r="P122" s="37" t="str">
        <x:v>No additional completed business flow found beyond What is done. Plan/scaffolding alone does not establish completion.</x:v>
      </x:c>
    </x:row>
    <x:row r="123" ht="72" hidden="0" customHeight="1">
      <x:c r="A123" s="40" t="n">
        <x:v>151</x:v>
      </x:c>
      <x:c r="B123" s="40" t="str">
        <x:v>Payroll &amp; compliance</x:v>
      </x:c>
      <x:c r="C123" s="40" t="str">
        <x:v>Inspection support &amp; statutory queries resolution.is received in the mobile number registered in the EPFO Portal</x:v>
      </x:c>
      <x:c r="D123" s="40" t="str">
        <x:v>Manual / service</x:v>
      </x:c>
      <x:c r="E123" s="40" t="str">
        <x:v>These are government-portal updates, claims, inspection assistance or legislative-monitoring services. No service completion evidence was audited.</x:v>
      </x:c>
      <x:c r="F123" s="40" t="str">
        <x:v>Assign compliance owner and retain portal acknowledgment/claim/notice evidence. HRMS file generation does not discharge these human duties.</x:v>
      </x:c>
      <x:c r="G123" s="40" t="str">
        <x:v>PAY-09; statutory operations</x:v>
      </x:c>
      <x:c r="H123" s="40" t="str">
        <x:v>Compliance operations</x:v>
      </x:c>
      <x:c r="I123" s="40" t="str">
        <x:v>Documention_ProtiVity/SOW Tracker .xlsx; docs/10-INDIA-PAYROLL-STATUTORY-REFERENCE.md</x:v>
      </x:c>
      <x:c r="J123" s="41" t="n">
        <x:v>1</x:v>
      </x:c>
      <x:c r="K123" s="41" t="n">
        <x:v>1</x:v>
      </x:c>
      <x:c r="L123" s="40"/>
      <x:c r="M123" s="42"/>
      <x:c r="N123" s="40"/>
      <x:c r="O123" s="40" t="str">
        <x:v>External/manual completion cannot be proved from repository</x:v>
      </x:c>
      <x:c r="P123" s="40" t="str">
        <x:v>No additional completed business flow found beyond What is done. Plan/scaffolding alone does not establish completion.</x:v>
      </x:c>
    </x:row>
    <x:row r="124" ht="72" hidden="0" customHeight="1">
      <x:c r="A124" s="37" t="n">
        <x:v>152</x:v>
      </x:c>
      <x:c r="B124" s="37" t="str">
        <x:v>Payroll &amp; compliance</x:v>
      </x:c>
      <x:c r="C124" s="37" t="str">
        <x:v>EDLI Returns (Form 7IF) </x:v>
      </x:c>
      <x:c r="D124" s="37" t="str">
        <x:v>Manual / service</x:v>
      </x:c>
      <x:c r="E124" s="37" t="str">
        <x:v>These are government-portal updates, claims, inspection assistance or legislative-monitoring services. No service completion evidence was audited.</x:v>
      </x:c>
      <x:c r="F124" s="37" t="str">
        <x:v>Assign compliance owner and retain portal acknowledgment/claim/notice evidence. HRMS file generation does not discharge these human duties.</x:v>
      </x:c>
      <x:c r="G124" s="37" t="str">
        <x:v>PAY-09; statutory operations</x:v>
      </x:c>
      <x:c r="H124" s="37" t="str">
        <x:v>Compliance operations</x:v>
      </x:c>
      <x:c r="I124" s="37" t="str">
        <x:v>Documention_ProtiVity/SOW Tracker .xlsx; docs/10-INDIA-PAYROLL-STATUTORY-REFERENCE.md</x:v>
      </x:c>
      <x:c r="J124" s="38" t="n">
        <x:v>1</x:v>
      </x:c>
      <x:c r="K124" s="38" t="n">
        <x:v>1</x:v>
      </x:c>
      <x:c r="L124" s="37"/>
      <x:c r="M124" s="39"/>
      <x:c r="N124" s="37"/>
      <x:c r="O124" s="37" t="str">
        <x:v>External/manual completion cannot be proved from repository</x:v>
      </x:c>
      <x:c r="P124" s="37" t="str">
        <x:v>No additional completed business flow found beyond What is done. Plan/scaffolding alone does not establish completion.</x:v>
      </x:c>
    </x:row>
    <x:row r="125" ht="72" hidden="0" customHeight="1">
      <x:c r="A125" s="40" t="n">
        <x:v>153</x:v>
      </x:c>
      <x:c r="B125" s="40" t="str">
        <x:v>Payroll &amp; compliance</x:v>
      </x:c>
      <x:c r="C125" s="40" t="str">
        <x:v>Date of Leaving updating – Date of leaving and the reason for leaving will be updated in the EPFO portal by Protiviti</x:v>
      </x:c>
      <x:c r="D125" s="40" t="str">
        <x:v>Manual / service</x:v>
      </x:c>
      <x:c r="E125" s="40" t="str">
        <x:v>These are government-portal updates, claims, inspection assistance or legislative-monitoring services. No service completion evidence was audited.</x:v>
      </x:c>
      <x:c r="F125" s="40" t="str">
        <x:v>Assign compliance owner and retain portal acknowledgment/claim/notice evidence. HRMS file generation does not discharge these human duties.</x:v>
      </x:c>
      <x:c r="G125" s="40" t="str">
        <x:v>PAY-09; statutory operations</x:v>
      </x:c>
      <x:c r="H125" s="40" t="str">
        <x:v>Compliance operations</x:v>
      </x:c>
      <x:c r="I125" s="40" t="str">
        <x:v>Documention_ProtiVity/SOW Tracker .xlsx; docs/10-INDIA-PAYROLL-STATUTORY-REFERENCE.md</x:v>
      </x:c>
      <x:c r="J125" s="41" t="n">
        <x:v>1</x:v>
      </x:c>
      <x:c r="K125" s="41" t="n">
        <x:v>1</x:v>
      </x:c>
      <x:c r="L125" s="40"/>
      <x:c r="M125" s="42"/>
      <x:c r="N125" s="40"/>
      <x:c r="O125" s="40" t="str">
        <x:v>External/manual completion cannot be proved from repository</x:v>
      </x:c>
      <x:c r="P125" s="40" t="str">
        <x:v>No additional completed business flow found beyond What is done. Plan/scaffolding alone does not establish completion.</x:v>
      </x:c>
    </x:row>
    <x:row r="126" ht="72" hidden="0" customHeight="1">
      <x:c r="A126" s="37" t="n">
        <x:v>154</x:v>
      </x:c>
      <x:c r="B126" s="37" t="str">
        <x:v>Payroll &amp; compliance</x:v>
      </x:c>
      <x:c r="C126" s="37" t="str">
        <x:v>Form 5A updating (Ownership Details)</x:v>
      </x:c>
      <x:c r="D126" s="37" t="str">
        <x:v>Manual / service</x:v>
      </x:c>
      <x:c r="E126" s="37" t="str">
        <x:v>These are government-portal updates, claims, inspection assistance or legislative-monitoring services. No service completion evidence was audited.</x:v>
      </x:c>
      <x:c r="F126" s="37" t="str">
        <x:v>Assign compliance owner and retain portal acknowledgment/claim/notice evidence. HRMS file generation does not discharge these human duties.</x:v>
      </x:c>
      <x:c r="G126" s="37" t="str">
        <x:v>PAY-09; statutory operations</x:v>
      </x:c>
      <x:c r="H126" s="37" t="str">
        <x:v>Compliance operations</x:v>
      </x:c>
      <x:c r="I126" s="37" t="str">
        <x:v>Documention_ProtiVity/SOW Tracker .xlsx; docs/10-INDIA-PAYROLL-STATUTORY-REFERENCE.md</x:v>
      </x:c>
      <x:c r="J126" s="38" t="n">
        <x:v>1</x:v>
      </x:c>
      <x:c r="K126" s="38" t="n">
        <x:v>1</x:v>
      </x:c>
      <x:c r="L126" s="37"/>
      <x:c r="M126" s="39"/>
      <x:c r="N126" s="37"/>
      <x:c r="O126" s="37" t="str">
        <x:v>External/manual completion cannot be proved from repository</x:v>
      </x:c>
      <x:c r="P126" s="37" t="str">
        <x:v>No additional completed business flow found beyond What is done. Plan/scaffolding alone does not establish completion.</x:v>
      </x:c>
    </x:row>
    <x:row r="127" ht="72" hidden="0" customHeight="1">
      <x:c r="A127" s="40" t="n">
        <x:v>155</x:v>
      </x:c>
      <x:c r="B127" s="40" t="str">
        <x:v>Payroll &amp; compliance</x:v>
      </x:c>
      <x:c r="C127" s="40" t="str">
        <x:v>Modify Establishment Details</x:v>
      </x:c>
      <x:c r="D127" s="40" t="str">
        <x:v>Manual / service</x:v>
      </x:c>
      <x:c r="E127" s="40" t="str">
        <x:v>These are government-portal updates, claims, inspection assistance or legislative-monitoring services. No service completion evidence was audited.</x:v>
      </x:c>
      <x:c r="F127" s="40" t="str">
        <x:v>Assign compliance owner and retain portal acknowledgment/claim/notice evidence. HRMS file generation does not discharge these human duties.</x:v>
      </x:c>
      <x:c r="G127" s="40" t="str">
        <x:v>PAY-09; statutory operations</x:v>
      </x:c>
      <x:c r="H127" s="40" t="str">
        <x:v>Compliance operations</x:v>
      </x:c>
      <x:c r="I127" s="40" t="str">
        <x:v>Documention_ProtiVity/SOW Tracker .xlsx; docs/10-INDIA-PAYROLL-STATUTORY-REFERENCE.md</x:v>
      </x:c>
      <x:c r="J127" s="41" t="n">
        <x:v>1</x:v>
      </x:c>
      <x:c r="K127" s="41" t="n">
        <x:v>1</x:v>
      </x:c>
      <x:c r="L127" s="40"/>
      <x:c r="M127" s="42"/>
      <x:c r="N127" s="40"/>
      <x:c r="O127" s="40" t="str">
        <x:v>External/manual completion cannot be proved from repository</x:v>
      </x:c>
      <x:c r="P127" s="40" t="str">
        <x:v>No additional completed business flow found beyond What is done. Plan/scaffolding alone does not establish completion.</x:v>
      </x:c>
    </x:row>
    <x:row r="128" ht="72" hidden="0" customHeight="1">
      <x:c r="A128" s="37" t="n">
        <x:v>156</x:v>
      </x:c>
      <x:c r="B128" s="37" t="str">
        <x:v>Payroll &amp; compliance</x:v>
      </x:c>
      <x:c r="C128" s="37" t="str">
        <x:v>Joint Declaration Submission</x:v>
      </x:c>
      <x:c r="D128" s="37" t="str">
        <x:v>Manual / service</x:v>
      </x:c>
      <x:c r="E128" s="37" t="str">
        <x:v>These are government-portal updates, claims, inspection assistance or legislative-monitoring services. No service completion evidence was audited.</x:v>
      </x:c>
      <x:c r="F128" s="37" t="str">
        <x:v>Assign compliance owner and retain portal acknowledgment/claim/notice evidence. HRMS file generation does not discharge these human duties.</x:v>
      </x:c>
      <x:c r="G128" s="37" t="str">
        <x:v>PAY-09; statutory operations</x:v>
      </x:c>
      <x:c r="H128" s="37" t="str">
        <x:v>Compliance operations</x:v>
      </x:c>
      <x:c r="I128" s="37" t="str">
        <x:v>Documention_ProtiVity/SOW Tracker .xlsx; docs/10-INDIA-PAYROLL-STATUTORY-REFERENCE.md</x:v>
      </x:c>
      <x:c r="J128" s="38" t="n">
        <x:v>1</x:v>
      </x:c>
      <x:c r="K128" s="38" t="n">
        <x:v>1</x:v>
      </x:c>
      <x:c r="L128" s="37"/>
      <x:c r="M128" s="39"/>
      <x:c r="N128" s="37"/>
      <x:c r="O128" s="37" t="str">
        <x:v>External/manual completion cannot be proved from repository</x:v>
      </x:c>
      <x:c r="P128" s="37" t="str">
        <x:v>No additional completed business flow found beyond What is done. Plan/scaffolding alone does not establish completion.</x:v>
      </x:c>
    </x:row>
    <x:row r="129" ht="72" hidden="0" customHeight="1">
      <x:c r="A129" s="40" t="n">
        <x:v>157</x:v>
      </x:c>
      <x:c r="B129" s="40" t="str">
        <x:v>Payroll &amp; compliance</x:v>
      </x:c>
      <x:c r="C129" s="40" t="str">
        <x:v>Death Claim Submission</x:v>
      </x:c>
      <x:c r="D129" s="40" t="str">
        <x:v>Manual / service</x:v>
      </x:c>
      <x:c r="E129" s="40" t="str">
        <x:v>These are government-portal updates, claims, inspection assistance or legislative-monitoring services. No service completion evidence was audited.</x:v>
      </x:c>
      <x:c r="F129" s="40" t="str">
        <x:v>Assign compliance owner and retain portal acknowledgment/claim/notice evidence. HRMS file generation does not discharge these human duties.</x:v>
      </x:c>
      <x:c r="G129" s="40" t="str">
        <x:v>PAY-09; statutory operations</x:v>
      </x:c>
      <x:c r="H129" s="40" t="str">
        <x:v>Compliance operations</x:v>
      </x:c>
      <x:c r="I129" s="40" t="str">
        <x:v>Documention_ProtiVity/SOW Tracker .xlsx; docs/10-INDIA-PAYROLL-STATUTORY-REFERENCE.md</x:v>
      </x:c>
      <x:c r="J129" s="41" t="n">
        <x:v>1</x:v>
      </x:c>
      <x:c r="K129" s="41" t="n">
        <x:v>1</x:v>
      </x:c>
      <x:c r="L129" s="40"/>
      <x:c r="M129" s="42"/>
      <x:c r="N129" s="40"/>
      <x:c r="O129" s="40" t="str">
        <x:v>External/manual completion cannot be proved from repository</x:v>
      </x:c>
      <x:c r="P129" s="40" t="str">
        <x:v>No additional completed business flow found beyond What is done. Plan/scaffolding alone does not establish completion.</x:v>
      </x:c>
    </x:row>
    <x:row r="130" ht="72" hidden="0" customHeight="1">
      <x:c r="A130" s="37" t="n">
        <x:v>158</x:v>
      </x:c>
      <x:c r="B130" s="37" t="str">
        <x:v>Payroll &amp; compliance</x:v>
      </x:c>
      <x:c r="C130" s="37" t="str">
        <x:v>Support in case of claim rejection by the EPFO</x:v>
      </x:c>
      <x:c r="D130" s="37" t="str">
        <x:v>Manual / service</x:v>
      </x:c>
      <x:c r="E130" s="37" t="str">
        <x:v>These are government-portal updates, claims, inspection assistance or legislative-monitoring services. No service completion evidence was audited.</x:v>
      </x:c>
      <x:c r="F130" s="37" t="str">
        <x:v>Assign compliance owner and retain portal acknowledgment/claim/notice evidence. HRMS file generation does not discharge these human duties.</x:v>
      </x:c>
      <x:c r="G130" s="37" t="str">
        <x:v>PAY-09; statutory operations</x:v>
      </x:c>
      <x:c r="H130" s="37" t="str">
        <x:v>Compliance operations</x:v>
      </x:c>
      <x:c r="I130" s="37" t="str">
        <x:v>Documention_ProtiVity/SOW Tracker .xlsx; docs/10-INDIA-PAYROLL-STATUTORY-REFERENCE.md</x:v>
      </x:c>
      <x:c r="J130" s="38" t="n">
        <x:v>1</x:v>
      </x:c>
      <x:c r="K130" s="38" t="n">
        <x:v>1</x:v>
      </x:c>
      <x:c r="L130" s="37"/>
      <x:c r="M130" s="39"/>
      <x:c r="N130" s="37"/>
      <x:c r="O130" s="37" t="str">
        <x:v>External/manual completion cannot be proved from repository</x:v>
      </x:c>
      <x:c r="P130" s="37" t="str">
        <x:v>No additional completed business flow found beyond What is done. Plan/scaffolding alone does not establish completion.</x:v>
      </x:c>
    </x:row>
    <x:row r="131" ht="72" hidden="0" customHeight="1">
      <x:c r="A131" s="40" t="n">
        <x:v>159</x:v>
      </x:c>
      <x:c r="B131" s="40" t="str">
        <x:v>Payroll &amp; compliance</x:v>
      </x:c>
      <x:c r="C131" s="40" t="str">
        <x:v>Inspection Assistance / Response to the Notices</x:v>
      </x:c>
      <x:c r="D131" s="40" t="str">
        <x:v>Manual / service</x:v>
      </x:c>
      <x:c r="E131" s="40" t="str">
        <x:v>These are government-portal updates, claims, inspection assistance or legislative-monitoring services. No service completion evidence was audited.</x:v>
      </x:c>
      <x:c r="F131" s="40" t="str">
        <x:v>Assign compliance owner and retain portal acknowledgment/claim/notice evidence. HRMS file generation does not discharge these human duties.</x:v>
      </x:c>
      <x:c r="G131" s="40" t="str">
        <x:v>PAY-09; statutory operations</x:v>
      </x:c>
      <x:c r="H131" s="40" t="str">
        <x:v>Compliance operations</x:v>
      </x:c>
      <x:c r="I131" s="40" t="str">
        <x:v>Documention_ProtiVity/SOW Tracker .xlsx; docs/10-INDIA-PAYROLL-STATUTORY-REFERENCE.md</x:v>
      </x:c>
      <x:c r="J131" s="41" t="n">
        <x:v>1</x:v>
      </x:c>
      <x:c r="K131" s="41" t="n">
        <x:v>1</x:v>
      </x:c>
      <x:c r="L131" s="40"/>
      <x:c r="M131" s="42"/>
      <x:c r="N131" s="40"/>
      <x:c r="O131" s="40" t="str">
        <x:v>External/manual completion cannot be proved from repository</x:v>
      </x:c>
      <x:c r="P131" s="40" t="str">
        <x:v>No additional completed business flow found beyond What is done. Plan/scaffolding alone does not establish completion.</x:v>
      </x:c>
    </x:row>
    <x:row r="132" ht="72" hidden="0" customHeight="1">
      <x:c r="A132" s="37" t="n">
        <x:v>160</x:v>
      </x:c>
      <x:c r="B132" s="37" t="str">
        <x:v>Payroll &amp; compliance</x:v>
      </x:c>
      <x:c r="C132" s="37" t="str">
        <x:v>Legislative Notification / Amendments</x:v>
      </x:c>
      <x:c r="D132" s="37" t="str">
        <x:v>Manual / service</x:v>
      </x:c>
      <x:c r="E132" s="37" t="str">
        <x:v>These are government-portal updates, claims, inspection assistance or legislative-monitoring services. No service completion evidence was audited.</x:v>
      </x:c>
      <x:c r="F132" s="37" t="str">
        <x:v>Assign compliance owner and retain portal acknowledgment/claim/notice evidence. HRMS file generation does not discharge these human duties.</x:v>
      </x:c>
      <x:c r="G132" s="37" t="str">
        <x:v>PAY-09; statutory operations</x:v>
      </x:c>
      <x:c r="H132" s="37" t="str">
        <x:v>Compliance operations</x:v>
      </x:c>
      <x:c r="I132" s="37" t="str">
        <x:v>Documention_ProtiVity/SOW Tracker .xlsx; docs/10-INDIA-PAYROLL-STATUTORY-REFERENCE.md</x:v>
      </x:c>
      <x:c r="J132" s="38" t="n">
        <x:v>1</x:v>
      </x:c>
      <x:c r="K132" s="38" t="n">
        <x:v>1</x:v>
      </x:c>
      <x:c r="L132" s="37"/>
      <x:c r="M132" s="39"/>
      <x:c r="N132" s="37"/>
      <x:c r="O132" s="37" t="str">
        <x:v>External/manual completion cannot be proved from repository</x:v>
      </x:c>
      <x:c r="P132" s="37" t="str">
        <x:v>No additional completed business flow found beyond What is done. Plan/scaffolding alone does not establish completion.</x:v>
      </x:c>
    </x:row>
    <x:row r="133" ht="72" hidden="0" customHeight="1">
      <x:c r="A133" s="40" t="n">
        <x:v>162</x:v>
      </x:c>
      <x:c r="B133" s="40" t="str">
        <x:v>Payroll &amp; compliance</x:v>
      </x:c>
      <x:c r="C133" s="40" t="str">
        <x:v>IP number generation, e-Pehchan card issuance.</x:v>
      </x:c>
      <x:c r="D133" s="40" t="str">
        <x:v>Manual / service</x:v>
      </x:c>
      <x:c r="E133" s="40" t="str">
        <x:v>These involve ESIC portal registration/cards/returns, family updates, paid challans or office corrections.</x:v>
      </x:c>
      <x:c r="F133" s="40" t="str">
        <x:v>Assign HR/compliance owner and retain actual portal/office receipts. Master family schema is not proof of ESIC portal submission.</x:v>
      </x:c>
      <x:c r="G133" s="40" t="str">
        <x:v>PAY-10; statutory operations</x:v>
      </x:c>
      <x:c r="H133" s="40" t="str">
        <x:v>Compliance operations</x:v>
      </x:c>
      <x:c r="I133" s="40" t="str">
        <x:v>Documention_ProtiVity/SOW Tracker .xlsx; docs/10-INDIA-PAYROLL-STATUTORY-REFERENCE.md</x:v>
      </x:c>
      <x:c r="J133" s="41" t="n">
        <x:v>1</x:v>
      </x:c>
      <x:c r="K133" s="41" t="n">
        <x:v>1</x:v>
      </x:c>
      <x:c r="L133" s="40"/>
      <x:c r="M133" s="42"/>
      <x:c r="N133" s="40"/>
      <x:c r="O133" s="40" t="str">
        <x:v>External/manual completion cannot be proved from repository</x:v>
      </x:c>
      <x:c r="P133" s="40" t="str">
        <x:v>No additional completed business flow found beyond What is done. Plan/scaffolding alone does not establish completion.</x:v>
      </x:c>
    </x:row>
    <x:row r="134" ht="72" hidden="0" customHeight="1">
      <x:c r="A134" s="37" t="n">
        <x:v>163</x:v>
      </x:c>
      <x:c r="B134" s="37" t="str">
        <x:v>Payroll &amp; compliance</x:v>
      </x:c>
      <x:c r="C134" s="37" t="str">
        <x:v>ESIC contributions reporting &amp; challan generation</x:v>
      </x:c>
      <x:c r="D134" s="37" t="str">
        <x:v>Pending</x:v>
      </x:c>
      <x:c r="E134" s="37" t="str">
        <x:v>ESIC reporting/file generation is specified.</x:v>
      </x:c>
      <x:c r="F134" s="37" t="str">
        <x:v>Build contribution-period engine and return/challan data export; human creates/remits portal challan and records proof.</x:v>
      </x:c>
      <x:c r="G134" s="37" t="str">
        <x:v>PAY-10</x:v>
      </x:c>
      <x:c r="H134" s="37" t="str">
        <x:v>2.3 / compliance operations</x:v>
      </x:c>
      <x:c r="I134" s="37" t="str">
        <x:v>plans/phase-2-payroll-statutory.md; backend/src/api/router.ts; frontend/src/pages/payroll/PayrollPage.tsx</x:v>
      </x:c>
      <x:c r="J134" s="38" t="n">
        <x:v>1</x:v>
      </x:c>
      <x:c r="K134" s="38" t="n">
        <x:v>1</x:v>
      </x:c>
      <x:c r="L134" s="37"/>
      <x:c r="M134" s="39"/>
      <x:c r="N134" s="37"/>
      <x:c r="O134" s="37" t="str">
        <x:v>Main SOW business flow absent; any scaffolding is listed in What is done</x:v>
      </x:c>
      <x:c r="P134" s="37" t="str">
        <x:v>No additional completed business flow found beyond What is done. Plan/scaffolding alone does not establish completion.</x:v>
      </x:c>
    </x:row>
    <x:row r="135" ht="72" hidden="0" customHeight="1">
      <x:c r="A135" s="40" t="n">
        <x:v>164</x:v>
      </x:c>
      <x:c r="B135" s="40" t="str">
        <x:v>Payroll &amp; compliance</x:v>
      </x:c>
      <x:c r="C135" s="40" t="str">
        <x:v>ESIC half-yearly submission &amp; compliance audits</x:v>
      </x:c>
      <x:c r="D135" s="40" t="str">
        <x:v>Manual / service</x:v>
      </x:c>
      <x:c r="E135" s="40" t="str">
        <x:v>These involve ESIC portal registration/cards/returns, family updates, paid challans or office corrections.</x:v>
      </x:c>
      <x:c r="F135" s="40" t="str">
        <x:v>Assign HR/compliance owner and retain actual portal/office receipts. Master family schema is not proof of ESIC portal submission.</x:v>
      </x:c>
      <x:c r="G135" s="40" t="str">
        <x:v>PAY-10; statutory operations</x:v>
      </x:c>
      <x:c r="H135" s="40" t="str">
        <x:v>Compliance operations</x:v>
      </x:c>
      <x:c r="I135" s="40" t="str">
        <x:v>Documention_ProtiVity/SOW Tracker .xlsx; docs/10-INDIA-PAYROLL-STATUTORY-REFERENCE.md</x:v>
      </x:c>
      <x:c r="J135" s="41" t="n">
        <x:v>1</x:v>
      </x:c>
      <x:c r="K135" s="41" t="n">
        <x:v>1</x:v>
      </x:c>
      <x:c r="L135" s="40"/>
      <x:c r="M135" s="42"/>
      <x:c r="N135" s="40"/>
      <x:c r="O135" s="40" t="str">
        <x:v>External/manual completion cannot be proved from repository</x:v>
      </x:c>
      <x:c r="P135" s="40" t="str">
        <x:v>No additional completed business flow found beyond What is done. Plan/scaffolding alone does not establish completion.</x:v>
      </x:c>
    </x:row>
    <x:row r="136" ht="72" hidden="0" customHeight="1">
      <x:c r="A136" s="37" t="n">
        <x:v>165</x:v>
      </x:c>
      <x:c r="B136" s="37" t="str">
        <x:v>Payroll &amp; compliance</x:v>
      </x:c>
      <x:c r="C136" s="37" t="str">
        <x:v>Updating of family members details</x:v>
      </x:c>
      <x:c r="D136" s="37" t="str">
        <x:v>Manual / service</x:v>
      </x:c>
      <x:c r="E136" s="37" t="str">
        <x:v>These involve ESIC portal registration/cards/returns, family updates, paid challans or office corrections.</x:v>
      </x:c>
      <x:c r="F136" s="37" t="str">
        <x:v>Assign HR/compliance owner and retain actual portal/office receipts. Master family schema is not proof of ESIC portal submission.</x:v>
      </x:c>
      <x:c r="G136" s="37" t="str">
        <x:v>PAY-10; statutory operations</x:v>
      </x:c>
      <x:c r="H136" s="37" t="str">
        <x:v>Compliance operations</x:v>
      </x:c>
      <x:c r="I136" s="37" t="str">
        <x:v>Documention_ProtiVity/SOW Tracker .xlsx; docs/10-INDIA-PAYROLL-STATUTORY-REFERENCE.md</x:v>
      </x:c>
      <x:c r="J136" s="38" t="n">
        <x:v>1</x:v>
      </x:c>
      <x:c r="K136" s="38" t="n">
        <x:v>1</x:v>
      </x:c>
      <x:c r="L136" s="37"/>
      <x:c r="M136" s="39"/>
      <x:c r="N136" s="37"/>
      <x:c r="O136" s="37" t="str">
        <x:v>External/manual completion cannot be proved from repository</x:v>
      </x:c>
      <x:c r="P136" s="37" t="str">
        <x:v>No additional completed business flow found beyond What is done. Plan/scaffolding alone does not establish completion.</x:v>
      </x:c>
    </x:row>
    <x:row r="137" ht="72" hidden="0" customHeight="1">
      <x:c r="A137" s="40" t="n">
        <x:v>166</x:v>
      </x:c>
      <x:c r="B137" s="40" t="str">
        <x:v>Payroll &amp; compliance</x:v>
      </x:c>
      <x:c r="C137" s="40" t="str">
        <x:v>Sharing ESIC Remitted Challan – Once the payment is made, Rashmi Metaliks Limited to download the paid challan from the ESIC Portal.</x:v>
      </x:c>
      <x:c r="D137" s="40" t="str">
        <x:v>Manual / service</x:v>
      </x:c>
      <x:c r="E137" s="40" t="str">
        <x:v>These involve ESIC portal registration/cards/returns, family updates, paid challans or office corrections.</x:v>
      </x:c>
      <x:c r="F137" s="40" t="str">
        <x:v>Assign HR/compliance owner and retain actual portal/office receipts. Master family schema is not proof of ESIC portal submission.</x:v>
      </x:c>
      <x:c r="G137" s="40" t="str">
        <x:v>PAY-10; statutory operations</x:v>
      </x:c>
      <x:c r="H137" s="40" t="str">
        <x:v>Compliance operations</x:v>
      </x:c>
      <x:c r="I137" s="40" t="str">
        <x:v>Documention_ProtiVity/SOW Tracker .xlsx; docs/10-INDIA-PAYROLL-STATUTORY-REFERENCE.md</x:v>
      </x:c>
      <x:c r="J137" s="41" t="n">
        <x:v>1</x:v>
      </x:c>
      <x:c r="K137" s="41" t="n">
        <x:v>1</x:v>
      </x:c>
      <x:c r="L137" s="40"/>
      <x:c r="M137" s="42"/>
      <x:c r="N137" s="40"/>
      <x:c r="O137" s="40" t="str">
        <x:v>External/manual completion cannot be proved from repository</x:v>
      </x:c>
      <x:c r="P137" s="40" t="str">
        <x:v>No additional completed business flow found beyond What is done. Plan/scaffolding alone does not establish completion.</x:v>
      </x:c>
    </x:row>
    <x:row r="138" ht="72" hidden="0" customHeight="1">
      <x:c r="A138" s="37" t="n">
        <x:v>167</x:v>
      </x:c>
      <x:c r="B138" s="37" t="str">
        <x:v>Payroll &amp; compliance</x:v>
      </x:c>
      <x:c r="C138" s="37" t="str">
        <x:v>Documents Submission to ESIC Office for Employee Name, DOJ &amp; Gender Correction (Protiviti Presence location)</x:v>
      </x:c>
      <x:c r="D138" s="37" t="str">
        <x:v>Manual / service</x:v>
      </x:c>
      <x:c r="E138" s="37" t="str">
        <x:v>These involve ESIC portal registration/cards/returns, family updates, paid challans or office corrections.</x:v>
      </x:c>
      <x:c r="F138" s="37" t="str">
        <x:v>Assign HR/compliance owner and retain actual portal/office receipts. Master family schema is not proof of ESIC portal submission.</x:v>
      </x:c>
      <x:c r="G138" s="37" t="str">
        <x:v>PAY-10; statutory operations</x:v>
      </x:c>
      <x:c r="H138" s="37" t="str">
        <x:v>Compliance operations</x:v>
      </x:c>
      <x:c r="I138" s="37" t="str">
        <x:v>Documention_ProtiVity/SOW Tracker .xlsx; docs/10-INDIA-PAYROLL-STATUTORY-REFERENCE.md</x:v>
      </x:c>
      <x:c r="J138" s="38" t="n">
        <x:v>1</x:v>
      </x:c>
      <x:c r="K138" s="38" t="n">
        <x:v>1</x:v>
      </x:c>
      <x:c r="L138" s="37"/>
      <x:c r="M138" s="39"/>
      <x:c r="N138" s="37"/>
      <x:c r="O138" s="37" t="str">
        <x:v>External/manual completion cannot be proved from repository</x:v>
      </x:c>
      <x:c r="P138" s="37" t="str">
        <x:v>No additional completed business flow found beyond What is done. Plan/scaffolding alone does not establish completion.</x:v>
      </x:c>
    </x:row>
    <x:row r="139" ht="72" hidden="0" customHeight="1">
      <x:c r="A139" s="40" t="n">
        <x:v>168</x:v>
      </x:c>
      <x:c r="B139" s="40" t="str">
        <x:v>Payroll &amp; compliance</x:v>
      </x:c>
      <x:c r="C139" s="40" t="str">
        <x:v>Updating of Employer Details (Company Name, Address)</x:v>
      </x:c>
      <x:c r="D139" s="40" t="str">
        <x:v>Manual / service</x:v>
      </x:c>
      <x:c r="E139" s="40" t="str">
        <x:v>These involve ESIC portal registration/cards/returns, family updates, paid challans or office corrections.</x:v>
      </x:c>
      <x:c r="F139" s="40" t="str">
        <x:v>Assign HR/compliance owner and retain actual portal/office receipts. Master family schema is not proof of ESIC portal submission.</x:v>
      </x:c>
      <x:c r="G139" s="40" t="str">
        <x:v>PAY-10; statutory operations</x:v>
      </x:c>
      <x:c r="H139" s="40" t="str">
        <x:v>Compliance operations</x:v>
      </x:c>
      <x:c r="I139" s="40" t="str">
        <x:v>Documention_ProtiVity/SOW Tracker .xlsx; docs/10-INDIA-PAYROLL-STATUTORY-REFERENCE.md</x:v>
      </x:c>
      <x:c r="J139" s="41" t="n">
        <x:v>1</x:v>
      </x:c>
      <x:c r="K139" s="41" t="n">
        <x:v>1</x:v>
      </x:c>
      <x:c r="L139" s="40"/>
      <x:c r="M139" s="42"/>
      <x:c r="N139" s="40"/>
      <x:c r="O139" s="40" t="str">
        <x:v>External/manual completion cannot be proved from repository</x:v>
      </x:c>
      <x:c r="P139" s="40" t="str">
        <x:v>No additional completed business flow found beyond What is done. Plan/scaffolding alone does not establish completion.</x:v>
      </x:c>
    </x:row>
    <x:row r="140" ht="72" hidden="0" customHeight="1">
      <x:c r="A140" s="37" t="n">
        <x:v>170</x:v>
      </x:c>
      <x:c r="B140" s="37" t="str">
        <x:v>Payroll &amp; compliance</x:v>
      </x:c>
      <x:c r="C140" s="37" t="str">
        <x:v>PT computation, reporting &amp; online remittance support</x:v>
      </x:c>
      <x:c r="D140" s="37" t="str">
        <x:v>Pending</x:v>
      </x:c>
      <x:c r="E140" s="37" t="str">
        <x:v>PT computation/register is specified.</x:v>
      </x:c>
      <x:c r="F140" s="37" t="str">
        <x:v>Build configured PT engine/report; named compliance owner handles online remittance and proof.</x:v>
      </x:c>
      <x:c r="G140" s="37" t="str">
        <x:v>PAY-11</x:v>
      </x:c>
      <x:c r="H140" s="37" t="str">
        <x:v>2.3 / compliance operations</x:v>
      </x:c>
      <x:c r="I140" s="37" t="str">
        <x:v>plans/phase-2-payroll-statutory.md; backend/src/api/router.ts; frontend/src/pages/payroll/PayrollPage.tsx</x:v>
      </x:c>
      <x:c r="J140" s="38" t="n">
        <x:v>1</x:v>
      </x:c>
      <x:c r="K140" s="38" t="n">
        <x:v>1</x:v>
      </x:c>
      <x:c r="L140" s="37"/>
      <x:c r="M140" s="39"/>
      <x:c r="N140" s="37"/>
      <x:c r="O140" s="37" t="str">
        <x:v>Main SOW business flow absent; any scaffolding is listed in What is done</x:v>
      </x:c>
      <x:c r="P140" s="37" t="str">
        <x:v>No additional completed business flow found beyond What is done. Plan/scaffolding alone does not establish completion.</x:v>
      </x:c>
    </x:row>
    <x:row r="141" ht="72" hidden="0" customHeight="1">
      <x:c r="A141" s="40" t="n">
        <x:v>171</x:v>
      </x:c>
      <x:c r="B141" s="40" t="str">
        <x:v>Payroll &amp; compliance</x:v>
      </x:c>
      <x:c r="C141" s="40" t="str">
        <x:v>PT enrollment &amp; renewal processing</x:v>
      </x:c>
      <x:c r="D141" s="40" t="str">
        <x:v>Manual / service</x:v>
      </x:c>
      <x:c r="E141" s="40" t="str">
        <x:v>Enrollment, establishment tax/payment, acknowledged challans and notice support are human/service activities.</x:v>
      </x:c>
      <x:c r="F141" s="40" t="str">
        <x:v>Confirm legal entity owner and retain enrollment/return/payment/notice evidence. Do not treat historical 100% as current completion.</x:v>
      </x:c>
      <x:c r="G141" s="40" t="str">
        <x:v>PAY-11; statutory operations</x:v>
      </x:c>
      <x:c r="H141" s="40" t="str">
        <x:v>Compliance operations</x:v>
      </x:c>
      <x:c r="I141" s="40" t="str">
        <x:v>Documention_ProtiVity/SOW Tracker .xlsx; docs/10-INDIA-PAYROLL-STATUTORY-REFERENCE.md</x:v>
      </x:c>
      <x:c r="J141" s="41" t="n">
        <x:v>1</x:v>
      </x:c>
      <x:c r="K141" s="41" t="n">
        <x:v>1</x:v>
      </x:c>
      <x:c r="L141" s="40"/>
      <x:c r="M141" s="42"/>
      <x:c r="N141" s="40"/>
      <x:c r="O141" s="40" t="str">
        <x:v>External/manual completion cannot be proved from repository</x:v>
      </x:c>
      <x:c r="P141" s="40" t="str">
        <x:v>No additional completed business flow found beyond What is done. Plan/scaffolding alone does not establish completion.</x:v>
      </x:c>
    </x:row>
    <x:row r="142" ht="72" hidden="0" customHeight="1">
      <x:c r="A142" s="37" t="n">
        <x:v>172</x:v>
      </x:c>
      <x:c r="B142" s="37" t="str">
        <x:v>Payroll &amp; compliance</x:v>
      </x:c>
      <x:c r="C142" s="37" t="str">
        <x:v>PT - Enrolment Certificate - Remittance</x:v>
      </x:c>
      <x:c r="D142" s="37" t="str">
        <x:v>Manual / service</x:v>
      </x:c>
      <x:c r="E142" s="37" t="str">
        <x:v>Enrollment, establishment tax/payment, acknowledged challans and notice support are human/service activities.</x:v>
      </x:c>
      <x:c r="F142" s="37" t="str">
        <x:v>Confirm legal entity owner and retain enrollment/return/payment/notice evidence. Do not treat historical 100% as current completion.</x:v>
      </x:c>
      <x:c r="G142" s="37" t="str">
        <x:v>PAY-11; statutory operations</x:v>
      </x:c>
      <x:c r="H142" s="37" t="str">
        <x:v>Compliance operations</x:v>
      </x:c>
      <x:c r="I142" s="37" t="str">
        <x:v>Documention_ProtiVity/SOW Tracker .xlsx; docs/10-INDIA-PAYROLL-STATUTORY-REFERENCE.md</x:v>
      </x:c>
      <x:c r="J142" s="38" t="n">
        <x:v>1</x:v>
      </x:c>
      <x:c r="K142" s="38" t="n">
        <x:v>1</x:v>
      </x:c>
      <x:c r="L142" s="37"/>
      <x:c r="M142" s="39"/>
      <x:c r="N142" s="37"/>
      <x:c r="O142" s="37" t="str">
        <x:v>External/manual completion cannot be proved from repository</x:v>
      </x:c>
      <x:c r="P142" s="37" t="str">
        <x:v>No additional completed business flow found beyond What is done. Plan/scaffolding alone does not establish completion.</x:v>
      </x:c>
    </x:row>
    <x:row r="143" ht="72" hidden="0" customHeight="1">
      <x:c r="A143" s="40" t="n">
        <x:v>173</x:v>
      </x:c>
      <x:c r="B143" s="40" t="str">
        <x:v>Payroll &amp; compliance</x:v>
      </x:c>
      <x:c r="C143" s="40" t="str">
        <x:v>PT - Enrolment Certificate - Returns</x:v>
      </x:c>
      <x:c r="D143" s="40" t="str">
        <x:v>Manual / service</x:v>
      </x:c>
      <x:c r="E143" s="40" t="str">
        <x:v>Enrollment, establishment tax/payment, acknowledged challans and notice support are human/service activities.</x:v>
      </x:c>
      <x:c r="F143" s="40" t="str">
        <x:v>Confirm legal entity owner and retain enrollment/return/payment/notice evidence. Do not treat historical 100% as current completion.</x:v>
      </x:c>
      <x:c r="G143" s="40" t="str">
        <x:v>PAY-11; statutory operations</x:v>
      </x:c>
      <x:c r="H143" s="40" t="str">
        <x:v>Compliance operations</x:v>
      </x:c>
      <x:c r="I143" s="40" t="str">
        <x:v>Documention_ProtiVity/SOW Tracker .xlsx; docs/10-INDIA-PAYROLL-STATUTORY-REFERENCE.md</x:v>
      </x:c>
      <x:c r="J143" s="41" t="n">
        <x:v>1</x:v>
      </x:c>
      <x:c r="K143" s="41" t="n">
        <x:v>1</x:v>
      </x:c>
      <x:c r="L143" s="40"/>
      <x:c r="M143" s="42"/>
      <x:c r="N143" s="40"/>
      <x:c r="O143" s="40" t="str">
        <x:v>External/manual completion cannot be proved from repository</x:v>
      </x:c>
      <x:c r="P143" s="40" t="str">
        <x:v>No additional completed business flow found beyond What is done. Plan/scaffolding alone does not establish completion.</x:v>
      </x:c>
    </x:row>
    <x:row r="144" ht="72" hidden="0" customHeight="1">
      <x:c r="A144" s="37" t="n">
        <x:v>174</x:v>
      </x:c>
      <x:c r="B144" s="37" t="str">
        <x:v>Payroll &amp; compliance</x:v>
      </x:c>
      <x:c r="C144" s="37" t="str">
        <x:v>Company Tax Remittance</x:v>
      </x:c>
      <x:c r="D144" s="37" t="str">
        <x:v>Manual / service</x:v>
      </x:c>
      <x:c r="E144" s="37" t="str">
        <x:v>Enrollment, establishment tax/payment, acknowledged challans and notice support are human/service activities.</x:v>
      </x:c>
      <x:c r="F144" s="37" t="str">
        <x:v>Confirm legal entity owner and retain enrollment/return/payment/notice evidence. Do not treat historical 100% as current completion.</x:v>
      </x:c>
      <x:c r="G144" s="37" t="str">
        <x:v>PAY-11; statutory operations</x:v>
      </x:c>
      <x:c r="H144" s="37" t="str">
        <x:v>Compliance operations</x:v>
      </x:c>
      <x:c r="I144" s="37" t="str">
        <x:v>Documention_ProtiVity/SOW Tracker .xlsx; docs/10-INDIA-PAYROLL-STATUTORY-REFERENCE.md</x:v>
      </x:c>
      <x:c r="J144" s="38" t="n">
        <x:v>1</x:v>
      </x:c>
      <x:c r="K144" s="38" t="n">
        <x:v>1</x:v>
      </x:c>
      <x:c r="L144" s="37"/>
      <x:c r="M144" s="39"/>
      <x:c r="N144" s="37"/>
      <x:c r="O144" s="37" t="str">
        <x:v>External/manual completion cannot be proved from repository</x:v>
      </x:c>
      <x:c r="P144" s="37" t="str">
        <x:v>No additional completed business flow found beyond What is done. Plan/scaffolding alone does not establish completion.</x:v>
      </x:c>
    </x:row>
    <x:row r="145" ht="72" hidden="0" customHeight="1">
      <x:c r="A145" s="40" t="n">
        <x:v>175</x:v>
      </x:c>
      <x:c r="B145" s="40" t="str">
        <x:v>Payroll &amp; compliance</x:v>
      </x:c>
      <x:c r="C145" s="40" t="str">
        <x:v>Sharing remitted /acknowledged challans</x:v>
      </x:c>
      <x:c r="D145" s="40" t="str">
        <x:v>Manual / service</x:v>
      </x:c>
      <x:c r="E145" s="40" t="str">
        <x:v>Enrollment, establishment tax/payment, acknowledged challans and notice support are human/service activities.</x:v>
      </x:c>
      <x:c r="F145" s="40" t="str">
        <x:v>Confirm legal entity owner and retain enrollment/return/payment/notice evidence. Do not treat historical 100% as current completion.</x:v>
      </x:c>
      <x:c r="G145" s="40" t="str">
        <x:v>PAY-11; statutory operations</x:v>
      </x:c>
      <x:c r="H145" s="40" t="str">
        <x:v>Compliance operations</x:v>
      </x:c>
      <x:c r="I145" s="40" t="str">
        <x:v>Documention_ProtiVity/SOW Tracker .xlsx; docs/10-INDIA-PAYROLL-STATUTORY-REFERENCE.md</x:v>
      </x:c>
      <x:c r="J145" s="41" t="n">
        <x:v>1</x:v>
      </x:c>
      <x:c r="K145" s="41" t="n">
        <x:v>1</x:v>
      </x:c>
      <x:c r="L145" s="40"/>
      <x:c r="M145" s="42"/>
      <x:c r="N145" s="40"/>
      <x:c r="O145" s="40" t="str">
        <x:v>External/manual completion cannot be proved from repository</x:v>
      </x:c>
      <x:c r="P145" s="40" t="str">
        <x:v>No additional completed business flow found beyond What is done. Plan/scaffolding alone does not establish completion.</x:v>
      </x:c>
    </x:row>
    <x:row r="146" ht="72" hidden="0" customHeight="1">
      <x:c r="A146" s="37" t="n">
        <x:v>176</x:v>
      </x:c>
      <x:c r="B146" s="37" t="str">
        <x:v>Payroll &amp; compliance</x:v>
      </x:c>
      <x:c r="C146" s="37" t="str">
        <x:v>Inspection Assistance / Response to the Notices</x:v>
      </x:c>
      <x:c r="D146" s="37" t="str">
        <x:v>Manual / service</x:v>
      </x:c>
      <x:c r="E146" s="37" t="str">
        <x:v>Enrollment, establishment tax/payment, acknowledged challans and notice support are human/service activities.</x:v>
      </x:c>
      <x:c r="F146" s="37" t="str">
        <x:v>Confirm legal entity owner and retain enrollment/return/payment/notice evidence. Do not treat historical 100% as current completion.</x:v>
      </x:c>
      <x:c r="G146" s="37" t="str">
        <x:v>PAY-11; statutory operations</x:v>
      </x:c>
      <x:c r="H146" s="37" t="str">
        <x:v>Compliance operations</x:v>
      </x:c>
      <x:c r="I146" s="37" t="str">
        <x:v>Documention_ProtiVity/SOW Tracker .xlsx; docs/10-INDIA-PAYROLL-STATUTORY-REFERENCE.md</x:v>
      </x:c>
      <x:c r="J146" s="38" t="n">
        <x:v>1</x:v>
      </x:c>
      <x:c r="K146" s="38" t="n">
        <x:v>1</x:v>
      </x:c>
      <x:c r="L146" s="37"/>
      <x:c r="M146" s="39"/>
      <x:c r="N146" s="37"/>
      <x:c r="O146" s="37" t="str">
        <x:v>External/manual completion cannot be proved from repository</x:v>
      </x:c>
      <x:c r="P146" s="37" t="str">
        <x:v>No additional completed business flow found beyond What is done. Plan/scaffolding alone does not establish completion.</x:v>
      </x:c>
    </x:row>
    <x:row r="147" ht="72" hidden="0" customHeight="1">
      <x:c r="A147" s="40" t="n">
        <x:v>178</x:v>
      </x:c>
      <x:c r="B147" s="40" t="str">
        <x:v>Payroll &amp; compliance</x:v>
      </x:c>
      <x:c r="C147" s="40" t="str">
        <x:v>LWF data upload, challan generation &amp; payment facilitation</x:v>
      </x:c>
      <x:c r="D147" s="40" t="str">
        <x:v>Pending</x:v>
      </x:c>
      <x:c r="E147" s="40" t="str">
        <x:v>LWF register/file generation is specified.</x:v>
      </x:c>
      <x:c r="F147" s="40" t="str">
        <x:v>Build LWF periodic computation/export; compliance owner performs upload/challan/payment and stores receipts.</x:v>
      </x:c>
      <x:c r="G147" s="40" t="str">
        <x:v>PAY-12</x:v>
      </x:c>
      <x:c r="H147" s="40" t="str">
        <x:v>2.3 / compliance operations</x:v>
      </x:c>
      <x:c r="I147" s="40" t="str">
        <x:v>plans/phase-2-payroll-statutory.md; backend/src/api/router.ts; frontend/src/pages/payroll/PayrollPage.tsx</x:v>
      </x:c>
      <x:c r="J147" s="41" t="n">
        <x:v>1</x:v>
      </x:c>
      <x:c r="K147" s="41" t="n">
        <x:v>1</x:v>
      </x:c>
      <x:c r="L147" s="40"/>
      <x:c r="M147" s="42"/>
      <x:c r="N147" s="40"/>
      <x:c r="O147" s="40" t="str">
        <x:v>Main SOW business flow absent; any scaffolding is listed in What is done</x:v>
      </x:c>
      <x:c r="P147" s="40" t="str">
        <x:v>No additional completed business flow found beyond What is done. Plan/scaffolding alone does not establish completion.</x:v>
      </x:c>
    </x:row>
    <x:row r="148" ht="72" hidden="0" customHeight="1">
      <x:c r="A148" s="37" t="n">
        <x:v>179</x:v>
      </x:c>
      <x:c r="B148" s="37" t="str">
        <x:v>Payroll &amp; compliance</x:v>
      </x:c>
      <x:c r="C148" s="37" t="str">
        <x:v>LWF inspection assistance &amp; compliance reporting</x:v>
      </x:c>
      <x:c r="D148" s="37" t="str">
        <x:v>Manual / service</x:v>
      </x:c>
      <x:c r="E148" s="37" t="str">
        <x:v>LWF inspection assistance is a service duty, not established by repository code.</x:v>
      </x:c>
      <x:c r="F148" s="37" t="str">
        <x:v>Assign owner; retain inspection response and compliance evidence.</x:v>
      </x:c>
      <x:c r="G148" s="37" t="str">
        <x:v>PAY-12; statutory operations</x:v>
      </x:c>
      <x:c r="H148" s="37" t="str">
        <x:v>Compliance operations</x:v>
      </x:c>
      <x:c r="I148" s="37" t="str">
        <x:v>Documention_ProtiVity/SOW Tracker .xlsx; docs/10-INDIA-PAYROLL-STATUTORY-REFERENCE.md</x:v>
      </x:c>
      <x:c r="J148" s="38" t="n">
        <x:v>1</x:v>
      </x:c>
      <x:c r="K148" s="38" t="n">
        <x:v>1</x:v>
      </x:c>
      <x:c r="L148" s="37"/>
      <x:c r="M148" s="39"/>
      <x:c r="N148" s="37"/>
      <x:c r="O148" s="37" t="str">
        <x:v>External/manual completion cannot be proved from repository</x:v>
      </x:c>
      <x:c r="P148" s="37" t="str">
        <x:v>No additional completed business flow found beyond What is done. Plan/scaffolding alone does not establish completion.</x:v>
      </x:c>
    </x:row>
    <x:row r="149" ht="85" hidden="0" customHeight="1">
      <x:c r="A149" s="40" t="n">
        <x:v>181</x:v>
      </x:c>
      <x:c r="B149" s="40" t="str">
        <x:v>Payroll &amp; compliance</x:v>
      </x:c>
      <x:c r="C149" s="40" t="str">
        <x:v>providing Employee Access:
  Payslips, tax computation slips, Form 16.
  Investment declarations &amp; reimbursement claims.
  Tax calculator &amp; helpdesk ticketing</x:v>
      </x:c>
      <x:c r="D149" s="40" t="str">
        <x:v>Partial</x:v>
      </x:c>
      <x:c r="E149" s="40" t="str">
        <x:v>Employee helpdesk and ESS shell exist.</x:v>
      </x:c>
      <x:c r="F149" s="40" t="str">
        <x:v>Build payslip/tax/Form16 downloads, investment declarations, claims and tax calculator. Helpdesk ticket access also needs ownership checks.</x:v>
      </x:c>
      <x:c r="G149" s="40" t="str">
        <x:v>PAY-06/13, CLM-02, HD-01</x:v>
      </x:c>
      <x:c r="H149" s="40" t="str">
        <x:v>2 / 3.4</x:v>
      </x:c>
      <x:c r="I149" s="40" t="str">
        <x:v>backend/src/modules/helpdesk/helpdesk.router.ts; backend/src/modules/helpdesk/helpdesk.service.ts; backend/tests/helpdesk.integration.test.ts; frontend/src/pages/workplace/HelpdeskPage.tsx; plans/phase-2-payroll-statutory.md; backend/src/api/router.ts; frontend/src/pages/payroll/PayrollPage.tsx</x:v>
      </x:c>
      <x:c r="J149" s="41" t="n">
        <x:v>1</x:v>
      </x:c>
      <x:c r="K149" s="41" t="n">
        <x:v>1</x:v>
      </x:c>
      <x:c r="L149" s="40"/>
      <x:c r="M149" s="42"/>
      <x:c r="N149" s="40"/>
      <x:c r="O149" s="40" t="str">
        <x:v>Supporting implementation exists; exact SOW point incomplete</x:v>
      </x:c>
      <x:c r="P149" s="40" t="str">
        <x:v>Code credited independently of plan checkboxes. See What is done, What remains and repository evidence.</x:v>
      </x:c>
    </x:row>
    <x:row r="150" ht="115" hidden="0" customHeight="1">
      <x:c r="A150" s="37" t="n">
        <x:v>182</x:v>
      </x:c>
      <x:c r="B150" s="37" t="str">
        <x:v>Payroll &amp; compliance</x:v>
      </x:c>
      <x:c r="C150" s="37" t="str">
        <x:v>providing HR &amp; Payroll SPOC Access:
  Bulk download of payroll &amp; compliance reports.
  Employee onboarding &amp; document management.
 Payroll discrepancy tracking &amp; query resolution</x:v>
      </x:c>
      <x:c r="D150" s="37" t="str">
        <x:v>Partial</x:v>
      </x:c>
      <x:c r="E150" s="37" t="str">
        <x:v>Letters archive, generic helpdesk and selected HR report exports exist.</x:v>
      </x:c>
      <x:c r="F150" s="37" t="str">
        <x:v>Build payroll bulk/compliance downloads, full onboarding/document workflow and discrepancy tracking linked to payroll.</x:v>
      </x:c>
      <x:c r="G150" s="37" t="str">
        <x:v>CORE-09, LC-01, PAY-05, HD-01</x:v>
      </x:c>
      <x:c r="H150" s="37" t="str">
        <x:v>2 / 3.1</x:v>
      </x:c>
      <x:c r="I150" s="37" t="str">
        <x:v>backend/src/modules/helpdesk/helpdesk.router.ts; backend/src/modules/helpdesk/helpdesk.service.ts; backend/tests/helpdesk.integration.test.ts; frontend/src/pages/workplace/HelpdeskPage.tsx; plans/phase-2-payroll-statutory.md; backend/src/api/router.ts; frontend/src/pages/payroll/PayrollPage.tsx; plans/phase-3-lifecycle-assets-executive.md; backend/src/modules/lifecycle/lifecycle.router.ts; frontend/src/pages/lifecycle/LifecyclePage.tsx</x:v>
      </x:c>
      <x:c r="J150" s="38" t="n">
        <x:v>1</x:v>
      </x:c>
      <x:c r="K150" s="38" t="n">
        <x:v>1</x:v>
      </x:c>
      <x:c r="L150" s="37" t="str">
        <x:v>We can make mandatory data for old employee fill by employee before using ESS portal</x:v>
      </x:c>
      <x:c r="M150" s="39"/>
      <x:c r="N150" s="37"/>
      <x:c r="O150" s="37" t="str">
        <x:v>Supporting implementation exists; exact SOW point incomplete</x:v>
      </x:c>
      <x:c r="P150" s="37" t="str">
        <x:v>Code credited independently of plan checkboxes. See What is done, What remains and repository evidence.</x:v>
      </x:c>
    </x:row>
    <x:row r="151" ht="72" hidden="0" customHeight="1">
      <x:c r="A151" s="40" t="n">
        <x:v>184</x:v>
      </x:c>
      <x:c r="B151" s="40" t="str">
        <x:v>Payroll &amp; compliance</x:v>
      </x:c>
      <x:c r="C151" s="40" t="str">
        <x:v>Annual Bonus &amp; Increment Processing:</x:v>
      </x:c>
      <x:c r="D151" s="40" t="str">
        <x:v>Pending</x:v>
      </x:c>
      <x:c r="E151" s="40" t="str">
        <x:v>Annual bonus/increment and tax year-end processes are specified.</x:v>
      </x:c>
      <x:c r="F151" s="40" t="str">
        <x:v>Build bonus true-up/increments or year-end TDS adjustments and prove fixtures; annual use-case absence is not completion.</x:v>
      </x:c>
      <x:c r="G151" s="40" t="str">
        <x:v>PAY-17/13</x:v>
      </x:c>
      <x:c r="H151" s="40" t="str">
        <x:v>2.6</x:v>
      </x:c>
      <x:c r="I151" s="40" t="str">
        <x:v>plans/phase-2-payroll-statutory.md; backend/src/api/router.ts; frontend/src/pages/payroll/PayrollPage.tsx</x:v>
      </x:c>
      <x:c r="J151" s="41" t="n">
        <x:v>1</x:v>
      </x:c>
      <x:c r="K151" s="41" t="n">
        <x:v>1</x:v>
      </x:c>
      <x:c r="L151" s="40"/>
      <x:c r="M151" s="42"/>
      <x:c r="N151" s="40"/>
      <x:c r="O151" s="40" t="str">
        <x:v>Main SOW business flow absent; any scaffolding is listed in What is done</x:v>
      </x:c>
      <x:c r="P151" s="40" t="str">
        <x:v>No additional completed business flow found beyond What is done. Plan/scaffolding alone does not establish completion.</x:v>
      </x:c>
    </x:row>
    <x:row r="152" ht="72" hidden="0" customHeight="1">
      <x:c r="A152" s="37" t="n">
        <x:v>185</x:v>
      </x:c>
      <x:c r="B152" s="37" t="str">
        <x:v>Payroll &amp; compliance</x:v>
      </x:c>
      <x:c r="C152" s="37" t="str">
        <x:v>Tax Deduction &amp; Year-End Adjustments</x:v>
      </x:c>
      <x:c r="D152" s="37" t="str">
        <x:v>Pending</x:v>
      </x:c>
      <x:c r="E152" s="37" t="str">
        <x:v>Annual bonus/increment and tax year-end processes are specified.</x:v>
      </x:c>
      <x:c r="F152" s="37" t="str">
        <x:v>Build bonus true-up/increments or year-end TDS adjustments and prove fixtures; annual use-case absence is not completion.</x:v>
      </x:c>
      <x:c r="G152" s="37" t="str">
        <x:v>PAY-17/13</x:v>
      </x:c>
      <x:c r="H152" s="37" t="str">
        <x:v>2.6</x:v>
      </x:c>
      <x:c r="I152" s="37" t="str">
        <x:v>plans/phase-2-payroll-statutory.md; backend/src/api/router.ts; frontend/src/pages/payroll/PayrollPage.tsx</x:v>
      </x:c>
      <x:c r="J152" s="38" t="n">
        <x:v>0.5</x:v>
      </x:c>
      <x:c r="K152" s="38" t="n">
        <x:v>0.5</x:v>
      </x:c>
      <x:c r="L152" s="37" t="str">
        <x:v>tax deductions being done / yr end adjustment no use case came</x:v>
      </x:c>
      <x:c r="M152" s="39"/>
      <x:c r="N152" s="37"/>
      <x:c r="O152" s="37" t="str">
        <x:v>Main SOW business flow absent; any scaffolding is listed in What is done</x:v>
      </x:c>
      <x:c r="P152" s="37" t="str">
        <x:v>No additional completed business flow found beyond What is done. Plan/scaffolding alone does not establish completion.</x:v>
      </x:c>
    </x:row>
    <x:row r="153" ht="145" hidden="0" customHeight="1">
      <x:c r="A153" s="40" t="n">
        <x:v>187</x:v>
      </x:c>
      <x:c r="B153" s="40" t="str">
        <x:v>Salary reimbursements</x:v>
      </x:c>
      <x:c r="C153" s="40" t="str">
        <x:v>Protiviti team should provide the following:
&gt; Reimbursement bank transfer
&gt; Reimbursement Register
&gt; Submission of reimbursement pay slip to employees via the Platform.
&gt; Calculation of TDS on the unclaimed entitlement at the year end or as per the Client policy
&gt; Assistance for management and resolution of desk queries raised by employees.</x:v>
      </x:c>
      <x:c r="D153" s="40" t="str">
        <x:v>Pending</x:v>
      </x:c>
      <x:c r="E153" s="40" t="str">
        <x:v>Claim/reimbursement page is a shell; generic helpdesk exists.</x:v>
      </x:c>
      <x:c r="F153" s="40" t="str">
        <x:v>Build reimbursement bank transfer, register, payslip, year-end unsubstantiated entitlement tax and linked query support.</x:v>
      </x:c>
      <x:c r="G153" s="40" t="str">
        <x:v>CLM-01..06, PAY-06/13</x:v>
      </x:c>
      <x:c r="H153" s="40" t="str">
        <x:v>2.5</x:v>
      </x:c>
      <x:c r="I153" s="40" t="str">
        <x:v>plans/phase-2-payroll-statutory.md; backend/src/api/router.ts; frontend/src/pages/payroll/PayrollPage.tsx; frontend/src/pages/payroll/ClaimsPage.tsx</x:v>
      </x:c>
      <x:c r="J153" s="41" t="n">
        <x:v>1</x:v>
      </x:c>
      <x:c r="K153" s="41" t="n">
        <x:v>1</x:v>
      </x:c>
      <x:c r="L153" s="40"/>
      <x:c r="M153" s="42"/>
      <x:c r="N153" s="40"/>
      <x:c r="O153" s="40" t="str">
        <x:v>Main SOW business flow absent; any scaffolding is listed in What is done</x:v>
      </x:c>
      <x:c r="P153" s="40" t="str">
        <x:v>No additional completed business flow found beyond What is done. Plan/scaffolding alone does not establish completion.</x:v>
      </x:c>
    </x:row>
    <x:row r="154" ht="72" hidden="0" customHeight="1">
      <x:c r="A154" s="37" t="n">
        <x:v>190</x:v>
      </x:c>
      <x:c r="B154" s="37" t="str">
        <x:v>Engagement</x:v>
      </x:c>
      <x:c r="C154" s="37" t="str">
        <x:v>Broadcasting company news and updates in an engaging format.</x:v>
      </x:c>
      <x:c r="D154" s="37" t="str">
        <x:v>Partial</x:v>
      </x:c>
      <x:c r="E154" s="37" t="str">
        <x:v>Announcement publish/read/withdraw APIs and targeted ESS feed exist.</x:v>
      </x:c>
      <x:c r="F154" s="37" t="str">
        <x:v>Build HR publisher console and delivery/read reach evidence; current page displays feed only.</x:v>
      </x:c>
      <x:c r="G154" s="37" t="str">
        <x:v>EN-01</x:v>
      </x:c>
      <x:c r="H154" s="37" t="str">
        <x:v>3.4</x:v>
      </x:c>
      <x:c r="I154" s="37" t="str">
        <x:v>backend/src/modules/engagement/engagement.router.ts; frontend/src/pages/workplace/EngagementPage.tsx; plans/phase-3-lifecycle-assets-executive.md</x:v>
      </x:c>
      <x:c r="J154" s="38" t="n">
        <x:v>1</x:v>
      </x:c>
      <x:c r="K154" s="38" t="n">
        <x:v>1</x:v>
      </x:c>
      <x:c r="L154" s="37" t="str">
        <x:v>module ready </x:v>
      </x:c>
      <x:c r="M154" s="39"/>
      <x:c r="N154" s="37"/>
      <x:c r="O154" s="37" t="str">
        <x:v>Supporting implementation exists; exact SOW point incomplete</x:v>
      </x:c>
      <x:c r="P154" s="37" t="str">
        <x:v>Backend and feed credited; HR publisher UI pending as plan states.</x:v>
      </x:c>
    </x:row>
    <x:row r="155" ht="72" hidden="0" customHeight="1">
      <x:c r="A155" s="40" t="n">
        <x:v>191</x:v>
      </x:c>
      <x:c r="B155" s="40" t="str">
        <x:v>Engagement</x:v>
      </x:c>
      <x:c r="C155" s="40" t="str">
        <x:v>Enabling HR teams to share information and conduct opinion polls.</x:v>
      </x:c>
      <x:c r="D155" s="40" t="str">
        <x:v>Partial</x:v>
      </x:c>
      <x:c r="E155" s="40" t="str">
        <x:v>Poll create/respond/results/close APIs, audience and anonymity dedupe exist.</x:v>
      </x:c>
      <x:c r="F155" s="40" t="str">
        <x:v>Build HR/employee polls UI and conduct real poll/UAT.</x:v>
      </x:c>
      <x:c r="G155" s="40" t="str">
        <x:v>EN-02</x:v>
      </x:c>
      <x:c r="H155" s="40" t="str">
        <x:v>3.4</x:v>
      </x:c>
      <x:c r="I155" s="40" t="str">
        <x:v>backend/src/modules/engagement/polls.service.ts; frontend/src/pages/workplace/EngagementPage.tsx; backend/tests/engagement.integration.test.ts</x:v>
      </x:c>
      <x:c r="J155" s="41" t="n">
        <x:v>0</x:v>
      </x:c>
      <x:c r="K155" s="41" t="n">
        <x:v>0</x:v>
      </x:c>
      <x:c r="L155" s="40" t="str">
        <x:v>protiviti satisfaction poll to be initiated </x:v>
      </x:c>
      <x:c r="M155" s="42" t="d">
        <x:v>2025-08-12T00:00:00.000Z</x:v>
      </x:c>
      <x:c r="N155" s="40"/>
      <x:c r="O155" s="40" t="str">
        <x:v>Supporting implementation exists; exact SOW point incomplete</x:v>
      </x:c>
      <x:c r="P155" s="40" t="str">
        <x:v>Poll APIs credited; poll UI pending as plan states.</x:v>
      </x:c>
    </x:row>
    <x:row r="156" ht="72" hidden="0" customHeight="1">
      <x:c r="A156" s="37" t="n">
        <x:v>193</x:v>
      </x:c>
      <x:c r="B156" s="37" t="str">
        <x:v>Engagement</x:v>
      </x:c>
      <x:c r="C156" s="37" t="str">
        <x:v>Conducting structured surveys for feedback collection.</x:v>
      </x:c>
      <x:c r="D156" s="37" t="str">
        <x:v>Partial</x:v>
      </x:c>
      <x:c r="E156" s="37" t="str">
        <x:v>Poll engine supports kind=pulse and anonymous results.</x:v>
      </x:c>
      <x:c r="F156" s="37" t="str">
        <x:v>Build pulse-survey UI; multi-question structured survey support is not evidenced by single-question/options contract. Confirm required scope.</x:v>
      </x:c>
      <x:c r="G156" s="37" t="str">
        <x:v>EN-03</x:v>
      </x:c>
      <x:c r="H156" s="37" t="str">
        <x:v>3.4 / scope review</x:v>
      </x:c>
      <x:c r="I156" s="37" t="str">
        <x:v>backend/src/modules/engagement/engagement.router.ts; frontend/src/pages/workplace/EngagementPage.tsx</x:v>
      </x:c>
      <x:c r="J156" s="38" t="n">
        <x:v>0</x:v>
      </x:c>
      <x:c r="K156" s="38" t="n">
        <x:v>0</x:v>
      </x:c>
      <x:c r="L156" s="37" t="str">
        <x:v>protiviti satisfaction feedback to be initiated </x:v>
      </x:c>
      <x:c r="M156" s="39"/>
      <x:c r="N156" s="37"/>
      <x:c r="O156" s="37" t="str">
        <x:v>Supporting implementation exists; exact SOW point incomplete</x:v>
      </x:c>
      <x:c r="P156" s="37" t="str">
        <x:v>Pulse APIs credited; UI and structured-survey scope remain.</x:v>
      </x:c>
    </x:row>
    <x:row r="157" ht="72" hidden="0" customHeight="1">
      <x:c r="A157" s="40" t="n">
        <x:v>194</x:v>
      </x:c>
      <x:c r="B157" s="40" t="str">
        <x:v>Engagement</x:v>
      </x:c>
      <x:c r="C157" s="40" t="str">
        <x:v>HR receives data-driven recommendations for improvements.</x:v>
      </x:c>
      <x:c r="D157" s="40" t="str">
        <x:v>Scope decision</x:v>
      </x:c>
      <x:c r="E157" s="40" t="str">
        <x:v>Basic poll tallies/comments exist; no recommendation engine found.</x:v>
      </x:c>
      <x:c r="F157" s="40" t="str">
        <x:v>Clarify whether this means HR interpretation of survey results or new automated recommendations. Record scope before building.</x:v>
      </x:c>
      <x:c r="G157" s="40" t="str">
        <x:v>EN-03; no explicit recommendation-engine requirement</x:v>
      </x:c>
      <x:c r="H157" s="40" t="str">
        <x:v>Scope review</x:v>
      </x:c>
      <x:c r="I157" s="40" t="str">
        <x:v>docs/01-REQUIREMENTS-PRD.md; backend/src/modules/engagement/polls.service.ts</x:v>
      </x:c>
      <x:c r="J157" s="41" t="n">
        <x:v>1</x:v>
      </x:c>
      <x:c r="K157" s="41" t="n">
        <x:v>1</x:v>
      </x:c>
      <x:c r="L157" s="40"/>
      <x:c r="M157" s="42"/>
      <x:c r="N157" s="40"/>
      <x:c r="O157" s="40" t="str">
        <x:v>Ambiguous/excluded scope; code does not settle the decision</x:v>
      </x:c>
      <x:c r="P157" s="40" t="str">
        <x:v>No additional completed business flow found beyond What is done. Plan/scaffolding alone does not establish completion.</x:v>
      </x:c>
    </x:row>
    <x:row r="158" ht="72" hidden="0" customHeight="1">
      <x:c r="A158" s="37" t="n">
        <x:v>197</x:v>
      </x:c>
      <x:c r="B158" s="37" t="str">
        <x:v>Assets</x:v>
      </x:c>
      <x:c r="C158" s="37" t="str">
        <x:v>Platform for Asset Assignment</x:v>
      </x:c>
      <x:c r="D158" s="37" t="str">
        <x:v>Implemented</x:v>
      </x:c>
      <x:c r="E158" s="37" t="str">
        <x:v>Asset register/search, holder assignments, employee/third-party XOR and UI allocation exist.</x:v>
      </x:c>
      <x:c r="F158" s="37" t="str">
        <x:v>Accept real asset inventory and Admin UAT; production rollout remains.</x:v>
      </x:c>
      <x:c r="G158" s="37" t="str">
        <x:v>AST-01..03</x:v>
      </x:c>
      <x:c r="H158" s="37" t="str">
        <x:v>3.3</x:v>
      </x:c>
      <x:c r="I158" s="37" t="str">
        <x:v>backend/src/modules/assets/assets.router.ts; backend/src/modules/assets/assets.service.ts; backend/tests/assets.integration.test.ts; frontend/src/pages/workplace/AssetsPage.tsx</x:v>
      </x:c>
      <x:c r="J158" s="38" t="n">
        <x:v>1</x:v>
      </x:c>
      <x:c r="K158" s="38" t="n">
        <x:v>1</x:v>
      </x:c>
      <x:c r="L158" s="37"/>
      <x:c r="M158" s="39"/>
      <x:c r="N158" s="37"/>
      <x:c r="O158" s="37" t="str">
        <x:v>Capability implemented in reviewed code; acceptance pending</x:v>
      </x:c>
      <x:c r="P158" s="37" t="str">
        <x:v>Code credited independently of plan checkboxes. See What is done, What remains and repository evidence.</x:v>
      </x:c>
    </x:row>
    <x:row r="159" ht="72" hidden="0" customHeight="1">
      <x:c r="A159" s="40" t="n">
        <x:v>198</x:v>
      </x:c>
      <x:c r="B159" s="40" t="str">
        <x:v>Assets</x:v>
      </x:c>
      <x:c r="C159" s="40" t="str">
        <x:v>Platform for management of Employee Asset Directory</x:v>
      </x:c>
      <x:c r="D159" s="40" t="str">
        <x:v>Implemented</x:v>
      </x:c>
      <x:c r="E159" s="40" t="str">
        <x:v>Asset register/search, holder assignments, employee/third-party XOR and UI allocation exist.</x:v>
      </x:c>
      <x:c r="F159" s="40" t="str">
        <x:v>Accept real asset inventory and Admin UAT; production rollout remains.</x:v>
      </x:c>
      <x:c r="G159" s="40" t="str">
        <x:v>AST-01..03</x:v>
      </x:c>
      <x:c r="H159" s="40" t="str">
        <x:v>3.3</x:v>
      </x:c>
      <x:c r="I159" s="40" t="str">
        <x:v>backend/src/modules/assets/assets.router.ts; backend/src/modules/assets/assets.service.ts; backend/tests/assets.integration.test.ts; frontend/src/pages/workplace/AssetsPage.tsx</x:v>
      </x:c>
      <x:c r="J159" s="41" t="n">
        <x:v>1</x:v>
      </x:c>
      <x:c r="K159" s="41" t="n">
        <x:v>1</x:v>
      </x:c>
      <x:c r="L159" s="40"/>
      <x:c r="M159" s="42"/>
      <x:c r="N159" s="40"/>
      <x:c r="O159" s="40" t="str">
        <x:v>Capability implemented in reviewed code; acceptance pending</x:v>
      </x:c>
      <x:c r="P159" s="40" t="str">
        <x:v>Code credited independently of plan checkboxes. See What is done, What remains and repository evidence.</x:v>
      </x:c>
    </x:row>
    <x:row r="160" ht="72" hidden="0" customHeight="1">
      <x:c r="A160" s="37" t="n">
        <x:v>200</x:v>
      </x:c>
      <x:c r="B160" s="37" t="str">
        <x:v>Assets</x:v>
      </x:c>
      <x:c r="C160" s="37" t="str">
        <x:v>Platform for Asset Maintenance Scheduling</x:v>
      </x:c>
      <x:c r="D160" s="37" t="str">
        <x:v>Partial</x:v>
      </x:c>
      <x:c r="E160" s="37" t="str">
        <x:v>Maintenance API/trail stores scheduled date and cost.</x:v>
      </x:c>
      <x:c r="F160" s="37" t="str">
        <x:v>Build maintenance scheduling UI, recurring reminders/status completion as agreed; asset page currently only register/allocate/return/outstanding.</x:v>
      </x:c>
      <x:c r="G160" s="37" t="str">
        <x:v>AST-06</x:v>
      </x:c>
      <x:c r="H160" s="37" t="str">
        <x:v>3.3</x:v>
      </x:c>
      <x:c r="I160" s="37" t="str">
        <x:v>backend/src/modules/assets/assets.router.ts; backend/src/modules/assets/assets.service.ts; backend/tests/assets.integration.test.ts; frontend/src/pages/workplace/AssetsPage.tsx</x:v>
      </x:c>
      <x:c r="J160" s="38" t="n">
        <x:v>0.5</x:v>
      </x:c>
      <x:c r="K160" s="38" t="n">
        <x:v>0.5</x:v>
      </x:c>
      <x:c r="L160" s="37" t="str">
        <x:v>actual demo to be done in ESS</x:v>
      </x:c>
      <x:c r="M160" s="39"/>
      <x:c r="N160" s="37"/>
      <x:c r="O160" s="37" t="str">
        <x:v>Supporting implementation exists; exact SOW point incomplete</x:v>
      </x:c>
      <x:c r="P160" s="37" t="str">
        <x:v>AST checked backend does not establish maintenance UI/process completion.</x:v>
      </x:c>
    </x:row>
    <x:row r="161" ht="85" hidden="0" customHeight="1">
      <x:c r="A161" s="40" t="n">
        <x:v>201</x:v>
      </x:c>
      <x:c r="B161" s="40" t="str">
        <x:v>Assets</x:v>
      </x:c>
      <x:c r="C161" s="40" t="str">
        <x:v>Platform for Incident &amp; Damage Reporting</x:v>
      </x:c>
      <x:c r="D161" s="40" t="str">
        <x:v>Partial</x:v>
      </x:c>
      <x:c r="E161" s="40" t="str">
        <x:v>Maintenance API records incident/damage/loss; damaged return routes to maintenance.</x:v>
      </x:c>
      <x:c r="F161" s="40" t="str">
        <x:v>Build dedicated incident/damage reporting UI and recovery linkage to payroll/F&amp;F.</x:v>
      </x:c>
      <x:c r="G161" s="40" t="str">
        <x:v>AST-06</x:v>
      </x:c>
      <x:c r="H161" s="40" t="str">
        <x:v>3.3 / 3.2</x:v>
      </x:c>
      <x:c r="I161" s="40" t="str">
        <x:v>backend/src/modules/assets/assets.router.ts; backend/src/modules/assets/assets.service.ts; backend/tests/assets.integration.test.ts; frontend/src/pages/workplace/AssetsPage.tsx; plans/phase-3-lifecycle-assets-executive.md; backend/src/modules/lifecycle/lifecycle.router.ts; frontend/src/pages/lifecycle/LifecyclePage.tsx</x:v>
      </x:c>
      <x:c r="J161" s="41" t="n">
        <x:v>0.5</x:v>
      </x:c>
      <x:c r="K161" s="41" t="n">
        <x:v>0.5</x:v>
      </x:c>
      <x:c r="L161" s="40"/>
      <x:c r="M161" s="42"/>
      <x:c r="N161" s="40"/>
      <x:c r="O161" s="40" t="str">
        <x:v>Supporting implementation exists; exact SOW point incomplete</x:v>
      </x:c>
      <x:c r="P161" s="40" t="str">
        <x:v>AST checked backend does not establish incident UI/recovery completion.</x:v>
      </x:c>
    </x:row>
    <x:row r="162" ht="72" hidden="0" customHeight="1">
      <x:c r="A162" s="37" t="n">
        <x:v>203</x:v>
      </x:c>
      <x:c r="B162" s="37" t="str">
        <x:v>Assets</x:v>
      </x:c>
      <x:c r="C162" s="37" t="str">
        <x:v>Platform for Asset Return Process</x:v>
      </x:c>
      <x:c r="D162" s="37" t="str">
        <x:v>Implemented</x:v>
      </x:c>
      <x:c r="E162" s="37" t="str">
        <x:v>Return drawer and API record ok/damaged/not_returned and assignment state.</x:v>
      </x:c>
      <x:c r="F162" s="37" t="str">
        <x:v>Prove actual exit integration/clearance in Stage 3.2; asset-return capability itself exists.</x:v>
      </x:c>
      <x:c r="G162" s="37" t="str">
        <x:v>AST-04</x:v>
      </x:c>
      <x:c r="H162" s="37" t="str">
        <x:v>3.3</x:v>
      </x:c>
      <x:c r="I162" s="37" t="str">
        <x:v>backend/src/modules/assets/assets.router.ts; backend/src/modules/assets/assets.service.ts; backend/tests/assets.integration.test.ts; frontend/src/pages/workplace/AssetsPage.tsx</x:v>
      </x:c>
      <x:c r="J162" s="38" t="n">
        <x:v>0.5</x:v>
      </x:c>
      <x:c r="K162" s="38" t="n">
        <x:v>0.5</x:v>
      </x:c>
      <x:c r="L162" s="37"/>
      <x:c r="M162" s="39"/>
      <x:c r="N162" s="37"/>
      <x:c r="O162" s="37" t="str">
        <x:v>Capability implemented in reviewed code; acceptance pending</x:v>
      </x:c>
      <x:c r="P162" s="37" t="str">
        <x:v>Code credited independently of plan checkboxes. See What is done, What remains and repository evidence.</x:v>
      </x:c>
    </x:row>
    <x:row r="163" ht="85" hidden="0" customHeight="1">
      <x:c r="A163" s="40" t="n">
        <x:v>204</x:v>
      </x:c>
      <x:c r="B163" s="40" t="str">
        <x:v>Assets</x:v>
      </x:c>
      <x:c r="C163" s="40" t="str">
        <x:v>Platform for Clearance Workflows</x:v>
      </x:c>
      <x:c r="D163" s="40" t="str">
        <x:v>Partial</x:v>
      </x:c>
      <x:c r="E163" s="40" t="str">
        <x:v>Open employee holdings lookup and leaver outstanding list exist.</x:v>
      </x:c>
      <x:c r="F163" s="40" t="str">
        <x:v>Build clearance fan-out/approvals and enforce asset disposition before Admin clearance/F&amp;F. Asset lookup alone is not the workflow.</x:v>
      </x:c>
      <x:c r="G163" s="40" t="str">
        <x:v>AST-04, LC-06</x:v>
      </x:c>
      <x:c r="H163" s="40" t="str">
        <x:v>3.2 / 3.3</x:v>
      </x:c>
      <x:c r="I163" s="40" t="str">
        <x:v>backend/src/modules/assets/assets.router.ts; backend/src/modules/assets/assets.service.ts; backend/tests/assets.integration.test.ts; frontend/src/pages/workplace/AssetsPage.tsx; plans/phase-3-lifecycle-assets-executive.md; backend/src/modules/lifecycle/lifecycle.router.ts; frontend/src/pages/lifecycle/LifecyclePage.tsx</x:v>
      </x:c>
      <x:c r="J163" s="41" t="n">
        <x:v>0.5</x:v>
      </x:c>
      <x:c r="K163" s="41" t="n">
        <x:v>0.5</x:v>
      </x:c>
      <x:c r="L163" s="40"/>
      <x:c r="M163" s="42"/>
      <x:c r="N163" s="40"/>
      <x:c r="O163" s="40" t="str">
        <x:v>Supporting implementation exists; exact SOW point incomplete</x:v>
      </x:c>
      <x:c r="P163" s="40" t="str">
        <x:v>Code credited independently of plan checkboxes. See What is done, What remains and repository evidence.</x:v>
      </x:c>
    </x:row>
    <x:row r="164" ht="85" hidden="0" customHeight="1">
      <x:c r="A164" s="37" t="n">
        <x:v>205</x:v>
      </x:c>
      <x:c r="B164" s="37" t="str">
        <x:v>Assets</x:v>
      </x:c>
      <x:c r="C164" s="37" t="str">
        <x:v>Platform for Lost or Unreturned Assets Management</x:v>
      </x:c>
      <x:c r="D164" s="37" t="str">
        <x:v>Partial</x:v>
      </x:c>
      <x:c r="E164" s="37" t="str">
        <x:v>Lost trail prevents allocation; leaver non-returned list and export exist.</x:v>
      </x:c>
      <x:c r="F164" s="37" t="str">
        <x:v>Expose loss handling/disposition UI and integrate recovery/write-off with clearance/payroll.</x:v>
      </x:c>
      <x:c r="G164" s="37" t="str">
        <x:v>AST-05/06</x:v>
      </x:c>
      <x:c r="H164" s="37" t="str">
        <x:v>3.3 / 3.2</x:v>
      </x:c>
      <x:c r="I164" s="37" t="str">
        <x:v>backend/src/modules/assets/assets.router.ts; backend/src/modules/assets/assets.service.ts; backend/tests/assets.integration.test.ts; frontend/src/pages/workplace/AssetsPage.tsx; plans/phase-3-lifecycle-assets-executive.md; backend/src/modules/lifecycle/lifecycle.router.ts; frontend/src/pages/lifecycle/LifecyclePage.tsx</x:v>
      </x:c>
      <x:c r="J164" s="38" t="n">
        <x:v>0.5</x:v>
      </x:c>
      <x:c r="K164" s="38" t="n">
        <x:v>0.5</x:v>
      </x:c>
      <x:c r="L164" s="37"/>
      <x:c r="M164" s="39"/>
      <x:c r="N164" s="37"/>
      <x:c r="O164" s="37" t="str">
        <x:v>Supporting implementation exists; exact SOW point incomplete</x:v>
      </x:c>
      <x:c r="P164" s="37" t="str">
        <x:v>Loss API credited; UI/recovery process remains.</x:v>
      </x:c>
    </x:row>
    <x:row r="165" ht="72" hidden="0" customHeight="1">
      <x:c r="A165" s="40" t="n">
        <x:v>208</x:v>
      </x:c>
      <x:c r="B165" s="40" t="str">
        <x:v>Helpdesk</x:v>
      </x:c>
      <x:c r="C165" s="40" t="str">
        <x:v>Ticket Categories: Categorization of queries</x:v>
      </x:c>
      <x:c r="D165" s="40" t="str">
        <x:v>Implemented</x:v>
      </x:c>
      <x:c r="E165" s="40" t="str">
        <x:v>Category catalog with data-driven SLA/routing role is available in API and ticket UI.</x:v>
      </x:c>
      <x:c r="F165" s="40" t="str">
        <x:v>Accept HR/IT/payroll categories and routing ownership in UAT.</x:v>
      </x:c>
      <x:c r="G165" s="40" t="str">
        <x:v>HD-01</x:v>
      </x:c>
      <x:c r="H165" s="40" t="str">
        <x:v>3.4</x:v>
      </x:c>
      <x:c r="I165" s="40" t="str">
        <x:v>backend/src/modules/helpdesk/helpdesk.router.ts; backend/src/modules/helpdesk/helpdesk.service.ts; backend/tests/helpdesk.integration.test.ts; frontend/src/pages/workplace/HelpdeskPage.tsx</x:v>
      </x:c>
      <x:c r="J165" s="41" t="n">
        <x:v>1</x:v>
      </x:c>
      <x:c r="K165" s="41" t="n">
        <x:v>1</x:v>
      </x:c>
      <x:c r="L165" s="40"/>
      <x:c r="M165" s="42"/>
      <x:c r="N165" s="40"/>
      <x:c r="O165" s="40" t="str">
        <x:v>Capability implemented in reviewed code; acceptance pending</x:v>
      </x:c>
      <x:c r="P165" s="40" t="str">
        <x:v>Code credited independently of plan checkboxes. See What is done, What remains and repository evidence.</x:v>
      </x:c>
    </x:row>
    <x:row r="166" ht="85" hidden="0" customHeight="1">
      <x:c r="A166" s="37" t="n">
        <x:v>209</x:v>
      </x:c>
      <x:c r="B166" s="37" t="str">
        <x:v>Helpdesk</x:v>
      </x:c>
      <x:c r="C166" s="37" t="str">
        <x:v>Platform Auto-Acknowledgment &amp; Assignment: </x:v>
      </x:c>
      <x:c r="D166" s="37" t="str">
        <x:v>Partial</x:v>
      </x:c>
      <x:c r="E166" s="37" t="str">
        <x:v>Raise transaction sets SLA/acknowledgment and resolves assignee from category role.</x:v>
      </x:c>
      <x:c r="F166" s="37" t="str">
        <x:v>Prove delivered acknowledgment/assignment notification, handle vacant assignee, and align business permission requirement.</x:v>
      </x:c>
      <x:c r="G166" s="37" t="str">
        <x:v>HD-01, WF-02</x:v>
      </x:c>
      <x:c r="H166" s="37" t="str">
        <x:v>3.4</x:v>
      </x:c>
      <x:c r="I166" s="37" t="str">
        <x:v>backend/src/modules/helpdesk/helpdesk.router.ts; backend/src/modules/helpdesk/helpdesk.service.ts; backend/tests/helpdesk.integration.test.ts; frontend/src/pages/workplace/HelpdeskPage.tsx; backend/src/modules/notifications/notifications.service.ts; backend/src/jobs/worker.ts</x:v>
      </x:c>
      <x:c r="J166" s="38" t="n">
        <x:v>1</x:v>
      </x:c>
      <x:c r="K166" s="38" t="n">
        <x:v>1</x:v>
      </x:c>
      <x:c r="L166" s="37"/>
      <x:c r="M166" s="39"/>
      <x:c r="N166" s="37"/>
      <x:c r="O166" s="37" t="str">
        <x:v>Supporting implementation exists; exact SOW point incomplete</x:v>
      </x:c>
      <x:c r="P166" s="37" t="str">
        <x:v>HD checked feature is not proof of delivered notifications.</x:v>
      </x:c>
    </x:row>
    <x:row r="167" ht="72" hidden="0" customHeight="1">
      <x:c r="A167" s="40" t="n">
        <x:v>211</x:v>
      </x:c>
      <x:c r="B167" s="40" t="str">
        <x:v>Helpdesk</x:v>
      </x:c>
      <x:c r="C167" s="40" t="str">
        <x:v>Escalation Matrix: Automated escalation of unresolved tickets based on pre-set SLAs</x:v>
      </x:c>
      <x:c r="D167" s="40" t="str">
        <x:v>Partial</x:v>
      </x:c>
      <x:c r="E167" s="40" t="str">
        <x:v>Hourly sweep increments escalation level and queues same-assignee alert.</x:v>
      </x:c>
      <x:c r="F167" s="40" t="str">
        <x:v>Implement actual escalation matrix/new responsible recipient; worker createQueue list omits helpdesk/KPI queue names. Prove clean-DB scheduler boot and real delivery.</x:v>
      </x:c>
      <x:c r="G167" s="40" t="str">
        <x:v>HD-01, WF-03</x:v>
      </x:c>
      <x:c r="H167" s="40" t="str">
        <x:v>3.4</x:v>
      </x:c>
      <x:c r="I167" s="40" t="str">
        <x:v>backend/src/modules/helpdesk/helpdesk.router.ts; backend/src/modules/helpdesk/helpdesk.service.ts; backend/tests/helpdesk.integration.test.ts; frontend/src/pages/workplace/HelpdeskPage.tsx; backend/src/jobs/worker.ts</x:v>
      </x:c>
      <x:c r="J167" s="41" t="n">
        <x:v>1</x:v>
      </x:c>
      <x:c r="K167" s="41" t="n">
        <x:v>1</x:v>
      </x:c>
      <x:c r="L167" s="40" t="str">
        <x:v>this has to be tested </x:v>
      </x:c>
      <x:c r="M167" s="42"/>
      <x:c r="N167" s="40"/>
      <x:c r="O167" s="40" t="str">
        <x:v>Supporting implementation exists; exact SOW point incomplete</x:v>
      </x:c>
      <x:c r="P167" s="40" t="str">
        <x:v>HD checked feature still lacks recipient escalation and verified queue initialization.</x:v>
      </x:c>
    </x:row>
    <x:row r="168" ht="72" hidden="0" customHeight="1">
      <x:c r="A168" s="37" t="n">
        <x:v>213</x:v>
      </x:c>
      <x:c r="B168" s="37" t="str">
        <x:v>Helpdesk</x:v>
      </x:c>
      <x:c r="C168" s="37" t="str">
        <x:v>Real-time tracking of open, pending, and resolved tickets.</x:v>
      </x:c>
      <x:c r="D168" s="37" t="str">
        <x:v>Partial</x:v>
      </x:c>
      <x:c r="E168" s="37" t="str">
        <x:v>Employee own list and agent queue support open/pending/resolved/closed.</x:v>
      </x:c>
      <x:c r="F168" s="37" t="str">
        <x:v>Add ticket-owner/assignee authorization to thread/reply and category/org scoping where required; then prove negative access fixtures.</x:v>
      </x:c>
      <x:c r="G168" s="37" t="str">
        <x:v>HD-01, CORE-10</x:v>
      </x:c>
      <x:c r="H168" s="37" t="str">
        <x:v>3.4</x:v>
      </x:c>
      <x:c r="I168" s="37" t="str">
        <x:v>backend/src/modules/helpdesk/helpdesk.router.ts; backend/src/modules/helpdesk/helpdesk.service.ts; backend/tests/helpdesk.integration.test.ts; frontend/src/pages/workplace/HelpdeskPage.tsx</x:v>
      </x:c>
      <x:c r="J168" s="38" t="n">
        <x:v>1</x:v>
      </x:c>
      <x:c r="K168" s="38" t="n">
        <x:v>1</x:v>
      </x:c>
      <x:c r="L168" s="37"/>
      <x:c r="M168" s="39"/>
      <x:c r="N168" s="37"/>
      <x:c r="O168" s="37" t="str">
        <x:v>Supporting implementation exists; exact SOW point incomplete</x:v>
      </x:c>
      <x:c r="P168" s="37" t="str">
        <x:v>HD checked feature still has thread/reply authorization gaps.</x:v>
      </x:c>
    </x:row>
    <x:row r="169" ht="72" hidden="0" customHeight="1">
      <x:c r="A169" s="40" t="n">
        <x:v>214</x:v>
      </x:c>
      <x:c r="B169" s="40" t="str">
        <x:v>Helpdesk</x:v>
      </x:c>
      <x:c r="C169" s="40" t="str">
        <x:v>Monthly Performance Reports</x:v>
      </x:c>
      <x:c r="D169" s="40" t="str">
        <x:v>Partial</x:v>
      </x:c>
      <x:c r="E169" s="40" t="str">
        <x:v>Monthly category report and Excel exist.</x:v>
      </x:c>
      <x:c r="F169" s="40" t="str">
        <x:v>Add assignee/SLA-hit reporting per doc 04; retain historic breach facts so resolved late tickets do not disappear from breached count.</x:v>
      </x:c>
      <x:c r="G169" s="40" t="str">
        <x:v>HD-01, RPT-06</x:v>
      </x:c>
      <x:c r="H169" s="40" t="str">
        <x:v>3.4</x:v>
      </x:c>
      <x:c r="I169" s="40" t="str">
        <x:v>backend/src/modules/helpdesk/helpdesk.router.ts; backend/src/modules/helpdesk/helpdesk.service.ts; backend/tests/helpdesk.integration.test.ts; frontend/src/pages/workplace/HelpdeskPage.tsx; docs/04-MODULE-SPECS.md</x:v>
      </x:c>
      <x:c r="J169" s="41" t="n">
        <x:v>1</x:v>
      </x:c>
      <x:c r="K169" s="41" t="n">
        <x:v>1</x:v>
      </x:c>
      <x:c r="L169" s="40"/>
      <x:c r="M169" s="42"/>
      <x:c r="N169" s="40"/>
      <x:c r="O169" s="40" t="str">
        <x:v>Supporting implementation exists; exact SOW point incomplete</x:v>
      </x:c>
      <x:c r="P169" s="40" t="str">
        <x:v>R29 exists but exact reporting requirements remain incomplete.</x:v>
      </x:c>
    </x:row>
    <x:row r="170" ht="72" hidden="0" customHeight="1">
      <x:c r="A170" s="37" t="n">
        <x:v>216</x:v>
      </x:c>
      <x:c r="B170" s="37" t="str">
        <x:v>Helpdesk</x:v>
      </x:c>
      <x:c r="C170" s="37" t="str">
        <x:v>Helpdesk Query Logs</x:v>
      </x:c>
      <x:c r="D170" s="37" t="str">
        <x:v>Implemented</x:v>
      </x:c>
      <x:c r="E170" s="37" t="str">
        <x:v>Ticket-message history is append-only via migration trigger.</x:v>
      </x:c>
      <x:c r="F170" s="37" t="str">
        <x:v>Close ticket read/reply authorization gap; prove production retention and UAT.</x:v>
      </x:c>
      <x:c r="G170" s="37" t="str">
        <x:v>HD-01, CORE-11</x:v>
      </x:c>
      <x:c r="H170" s="37" t="str">
        <x:v>3.4</x:v>
      </x:c>
      <x:c r="I170" s="37" t="str">
        <x:v>backend/src/modules/helpdesk/helpdesk.router.ts; backend/src/modules/helpdesk/helpdesk.service.ts; backend/tests/helpdesk.integration.test.ts; frontend/src/pages/workplace/HelpdeskPage.tsx; backend/migrations/1751990000000_helpdesk-engagement.ts</x:v>
      </x:c>
      <x:c r="J170" s="38" t="n">
        <x:v>1</x:v>
      </x:c>
      <x:c r="K170" s="38" t="n">
        <x:v>1</x:v>
      </x:c>
      <x:c r="L170" s="37"/>
      <x:c r="M170" s="39"/>
      <x:c r="N170" s="37"/>
      <x:c r="O170" s="37" t="str">
        <x:v>Capability implemented in reviewed code; acceptance pending</x:v>
      </x:c>
      <x:c r="P170" s="37" t="str">
        <x:v>Code credited independently of plan checkboxes. See What is done, What remains and repository evidence.</x:v>
      </x:c>
    </x:row>
    <x:row r="171" ht="72" hidden="0" customHeight="1">
      <x:c r="A171" s="40" t="n">
        <x:v>217</x:v>
      </x:c>
      <x:c r="B171" s="40" t="str">
        <x:v>Helpdesk</x:v>
      </x:c>
      <x:c r="C171" s="40" t="str">
        <x:v>Regulatory Query Handling</x:v>
      </x:c>
      <x:c r="D171" s="40" t="str">
        <x:v>Manual / service</x:v>
      </x:c>
      <x:c r="E171" s="40" t="str">
        <x:v>Generic helpdesk can record queries; specialist regulatory responses are human services.</x:v>
      </x:c>
      <x:c r="F171" s="40" t="str">
        <x:v>Assign qualified compliance owner and retain response/closure evidence; ticketing alone does not prove regulatory resolution.</x:v>
      </x:c>
      <x:c r="G171" s="40" t="str">
        <x:v>HD-01; regulatory operations</x:v>
      </x:c>
      <x:c r="H171" s="40" t="str">
        <x:v>Compliance operations</x:v>
      </x:c>
      <x:c r="I171" s="40" t="str">
        <x:v>backend/src/modules/helpdesk/helpdesk.router.ts; backend/src/modules/helpdesk/helpdesk.service.ts; backend/tests/helpdesk.integration.test.ts; frontend/src/pages/workplace/HelpdeskPage.tsx; Documention_ProtiVity/SOW Tracker .xlsx</x:v>
      </x:c>
      <x:c r="J171" s="41" t="n">
        <x:v>1</x:v>
      </x:c>
      <x:c r="K171" s="41" t="n">
        <x:v>1</x:v>
      </x:c>
      <x:c r="L171" s="40"/>
      <x:c r="M171" s="42"/>
      <x:c r="N171" s="40"/>
      <x:c r="O171" s="40" t="str">
        <x:v>External/manual completion cannot be proved from repository</x:v>
      </x:c>
      <x:c r="P171" s="40" t="str">
        <x:v>No additional completed business flow found beyond What is done. Plan/scaffolding alone does not establish completion.</x:v>
      </x:c>
    </x:row>
    <x:row r="172" ht="85" hidden="0" customHeight="1">
      <x:c r="A172" s="37" t="n">
        <x:v>218</x:v>
      </x:c>
      <x:c r="B172" s="37" t="str">
        <x:v>Helpdesk</x:v>
      </x:c>
      <x:c r="C172" s="37" t="str">
        <x:v>Employee &amp; Case Management</x:v>
      </x:c>
      <x:c r="D172" s="37" t="str">
        <x:v>Partial</x:v>
      </x:c>
      <x:c r="E172" s="37" t="str">
        <x:v>Ticket threads and absence-case queue exist.</x:v>
      </x:c>
      <x:c r="F172" s="37" t="str">
        <x:v>Finish secure employee/case access and connect relevant lifecycle/payroll cases. Agree whether SOW refers only to helpdesk cases.</x:v>
      </x:c>
      <x:c r="G172" s="37" t="str">
        <x:v>HD-01, ATT-10, LC-06</x:v>
      </x:c>
      <x:c r="H172" s="37" t="str">
        <x:v>3.4 / scope review</x:v>
      </x:c>
      <x:c r="I172" s="37" t="str">
        <x:v>backend/src/modules/helpdesk/helpdesk.router.ts; backend/src/modules/helpdesk/helpdesk.service.ts; backend/tests/helpdesk.integration.test.ts; frontend/src/pages/workplace/HelpdeskPage.tsx; plans/phase-3-lifecycle-assets-executive.md; backend/src/modules/lifecycle/lifecycle.router.ts; frontend/src/pages/lifecycle/LifecyclePage.tsx</x:v>
      </x:c>
      <x:c r="J172" s="38" t="n">
        <x:v>1</x:v>
      </x:c>
      <x:c r="K172" s="38" t="n">
        <x:v>1</x:v>
      </x:c>
      <x:c r="L172" s="37"/>
      <x:c r="M172" s="39"/>
      <x:c r="N172" s="37"/>
      <x:c r="O172" s="37" t="str">
        <x:v>Supporting implementation exists; exact SOW point incomplete</x:v>
      </x:c>
      <x:c r="P172" s="37" t="str">
        <x:v>Code credited independently of plan checkboxes. See What is done, What remains and repository evidence.</x:v>
      </x:c>
    </x:row>
    <x:row r="173" ht="72" hidden="0" customHeight="1">
      <x:c r="A173" s="40" t="n">
        <x:v>221</x:v>
      </x:c>
      <x:c r="B173" s="40" t="str">
        <x:v>Final settlement</x:v>
      </x:c>
      <x:c r="C173" s="40" t="str">
        <x:v>Settlement Input in Excel Format as shared by Protiviti viz – Number of days payable, Salary hold release, Leave Encashment days/Notice Pay recovery, Other Payments&amp; Deductions, Gratuity, LTA claimed in previous employment</x:v>
      </x:c>
      <x:c r="D173" s="40" t="str">
        <x:v>Pending</x:v>
      </x:c>
      <x:c r="E173" s="40" t="str">
        <x:v>F&amp;F/alumni are specified; lifecycle/payroll shells only.</x:v>
      </x:c>
      <x:c r="F173" s="40" t="str">
        <x:v>Build the row-specific settlement input, proof/claim submission, reviewed workings, approved deliverables, two monthly cycles, configurable signed TAT or alumni download access. Full F&amp;F pipeline is absent.</x:v>
      </x:c>
      <x:c r="G173" s="40" t="str">
        <x:v>PAY-15/13, CLM-02, LC-06/07</x:v>
      </x:c>
      <x:c r="H173" s="40" t="str">
        <x:v>3.2</x:v>
      </x:c>
      <x:c r="I173" s="40" t="str">
        <x:v>plans/phase-3-lifecycle-assets-executive.md; backend/src/modules/lifecycle/lifecycle.router.ts; frontend/src/pages/lifecycle/LifecyclePage.tsx; plans/phase-2-payroll-statutory.md; backend/src/api/router.ts; frontend/src/pages/payroll/PayrollPage.tsx</x:v>
      </x:c>
      <x:c r="J173" s="41" t="n">
        <x:v>0.5</x:v>
      </x:c>
      <x:c r="K173" s="41" t="n">
        <x:v>0.5</x:v>
      </x:c>
      <x:c r="L173" s="40" t="str">
        <x:v>1st FnF will be process in AUg 25 </x:v>
      </x:c>
      <x:c r="M173" s="42" t="d">
        <x:v>2025-08-31T00:00:00.000Z</x:v>
      </x:c>
      <x:c r="N173" s="40"/>
      <x:c r="O173" s="40" t="str">
        <x:v>Main SOW business flow absent; any scaffolding is listed in What is done</x:v>
      </x:c>
      <x:c r="P173" s="40" t="str">
        <x:v>No additional completed business flow found beyond What is done. Plan/scaffolding alone does not establish completion.</x:v>
      </x:c>
    </x:row>
    <x:row r="174" ht="72" hidden="0" customHeight="1">
      <x:c r="A174" s="37" t="n">
        <x:v>222</x:v>
      </x:c>
      <x:c r="B174" s="37" t="str">
        <x:v>Final settlement</x:v>
      </x:c>
      <x:c r="C174" s="37" t="str">
        <x:v>Communication Protocol: SFTP/ Protiviti’s CRM/ Rashmi Metaliks Limited Portal</x:v>
      </x:c>
      <x:c r="D174" s="37" t="str">
        <x:v>Scope decision</x:v>
      </x:c>
      <x:c r="E174" s="37" t="str">
        <x:v>SFTP/vendor CRM communication is a vendor operating clause; HRMS portal is planned.</x:v>
      </x:c>
      <x:c r="F174" s="37" t="str">
        <x:v>Confirm retained portal/exchange protocol and evidence requirements under custom replacement. No SFTP/vendor CRM implementation evidenced.</x:v>
      </x:c>
      <x:c r="G174" s="37" t="str">
        <x:v>SOW-10.1 protocol; LC-06</x:v>
      </x:c>
      <x:c r="H174" s="37" t="str">
        <x:v>Scope review / 3.2</x:v>
      </x:c>
      <x:c r="I174" s="37" t="str">
        <x:v>Documention_ProtiVity/SOW Tracker .xlsx; plans/phase-3-lifecycle-assets-executive.md; backend/src/modules/lifecycle/lifecycle.router.ts; frontend/src/pages/lifecycle/LifecyclePage.tsx</x:v>
      </x:c>
      <x:c r="J174" s="38" t="n">
        <x:v>1</x:v>
      </x:c>
      <x:c r="K174" s="38" t="n">
        <x:v>1</x:v>
      </x:c>
      <x:c r="L174" s="37"/>
      <x:c r="M174" s="39"/>
      <x:c r="N174" s="37"/>
      <x:c r="O174" s="37" t="str">
        <x:v>Ambiguous/excluded scope; code does not settle the decision</x:v>
      </x:c>
      <x:c r="P174" s="37" t="str">
        <x:v>No additional completed business flow found beyond What is done. Plan/scaffolding alone does not establish completion.</x:v>
      </x:c>
    </x:row>
    <x:row r="175" ht="72" hidden="0" customHeight="1">
      <x:c r="A175" s="40" t="n">
        <x:v>223</x:v>
      </x:c>
      <x:c r="B175" s="40" t="str">
        <x:v>Final settlement</x:v>
      </x:c>
      <x:c r="C175" s="40" t="str">
        <x:v>Rashmi Metaliks Limited Employees to update investment proofs in ESS portal and submit any pending reimbursement claims</x:v>
      </x:c>
      <x:c r="D175" s="40" t="str">
        <x:v>Pending</x:v>
      </x:c>
      <x:c r="E175" s="40" t="str">
        <x:v>F&amp;F/alumni are specified; lifecycle/payroll shells only.</x:v>
      </x:c>
      <x:c r="F175" s="40" t="str">
        <x:v>Build the row-specific settlement input, proof/claim submission, reviewed workings, approved deliverables, two monthly cycles, configurable signed TAT or alumni download access. Full F&amp;F pipeline is absent.</x:v>
      </x:c>
      <x:c r="G175" s="40" t="str">
        <x:v>PAY-15/13, CLM-02, LC-06/07</x:v>
      </x:c>
      <x:c r="H175" s="40" t="str">
        <x:v>3.2</x:v>
      </x:c>
      <x:c r="I175" s="40" t="str">
        <x:v>plans/phase-3-lifecycle-assets-executive.md; backend/src/modules/lifecycle/lifecycle.router.ts; frontend/src/pages/lifecycle/LifecyclePage.tsx; plans/phase-2-payroll-statutory.md; backend/src/api/router.ts; frontend/src/pages/payroll/PayrollPage.tsx</x:v>
      </x:c>
      <x:c r="J175" s="41" t="n">
        <x:v>1</x:v>
      </x:c>
      <x:c r="K175" s="41" t="n">
        <x:v>1</x:v>
      </x:c>
      <x:c r="L175" s="40"/>
      <x:c r="M175" s="42"/>
      <x:c r="N175" s="40"/>
      <x:c r="O175" s="40" t="str">
        <x:v>Main SOW business flow absent; any scaffolding is listed in What is done</x:v>
      </x:c>
      <x:c r="P175" s="40" t="str">
        <x:v>No additional completed business flow found beyond What is done. Plan/scaffolding alone does not establish completion.</x:v>
      </x:c>
    </x:row>
    <x:row r="176" ht="72" hidden="0" customHeight="1">
      <x:c r="A176" s="37" t="n">
        <x:v>224</x:v>
      </x:c>
      <x:c r="B176" s="37" t="str">
        <x:v>Final settlement</x:v>
      </x:c>
      <x:c r="C176" s="37" t="str">
        <x:v>Protiviti should process payroll based on clarifications received (post verification of investment proofs and reimbursement claims submitted) and share the Final Settlement workings for confirmation</x:v>
      </x:c>
      <x:c r="D176" s="37" t="str">
        <x:v>Pending</x:v>
      </x:c>
      <x:c r="E176" s="37" t="str">
        <x:v>F&amp;F/alumni are specified; lifecycle/payroll shells only.</x:v>
      </x:c>
      <x:c r="F176" s="37" t="str">
        <x:v>Build the row-specific settlement input, proof/claim submission, reviewed workings, approved deliverables, two monthly cycles, configurable signed TAT or alumni download access. Full F&amp;F pipeline is absent.</x:v>
      </x:c>
      <x:c r="G176" s="37" t="str">
        <x:v>PAY-15/13, CLM-02, LC-06/07</x:v>
      </x:c>
      <x:c r="H176" s="37" t="str">
        <x:v>3.2</x:v>
      </x:c>
      <x:c r="I176" s="37" t="str">
        <x:v>plans/phase-3-lifecycle-assets-executive.md; backend/src/modules/lifecycle/lifecycle.router.ts; frontend/src/pages/lifecycle/LifecyclePage.tsx; plans/phase-2-payroll-statutory.md; backend/src/api/router.ts; frontend/src/pages/payroll/PayrollPage.tsx</x:v>
      </x:c>
      <x:c r="J176" s="38" t="n">
        <x:v>0.5</x:v>
      </x:c>
      <x:c r="K176" s="38" t="n">
        <x:v>0.5</x:v>
      </x:c>
      <x:c r="L176" s="37" t="str">
        <x:v>1st FnF will be process in AUg 25 </x:v>
      </x:c>
      <x:c r="M176" s="39"/>
      <x:c r="N176" s="37"/>
      <x:c r="O176" s="37" t="str">
        <x:v>Main SOW business flow absent; any scaffolding is listed in What is done</x:v>
      </x:c>
      <x:c r="P176" s="37" t="str">
        <x:v>No additional completed business flow found beyond What is done. Plan/scaffolding alone does not establish completion.</x:v>
      </x:c>
    </x:row>
    <x:row r="177" ht="72" hidden="0" customHeight="1">
      <x:c r="A177" s="40" t="n">
        <x:v>225</x:v>
      </x:c>
      <x:c r="B177" s="40" t="str">
        <x:v>Final settlement</x:v>
      </x:c>
      <x:c r="C177" s="40" t="str">
        <x:v>On receipt of confirmation, the following deliverables to be shared with the Rashmi Metaliks Limited SPOC</x:v>
      </x:c>
      <x:c r="D177" s="40" t="str">
        <x:v>Pending</x:v>
      </x:c>
      <x:c r="E177" s="40" t="str">
        <x:v>F&amp;F/alumni are specified; lifecycle/payroll shells only.</x:v>
      </x:c>
      <x:c r="F177" s="40" t="str">
        <x:v>Build the row-specific settlement input, proof/claim submission, reviewed workings, approved deliverables, two monthly cycles, configurable signed TAT or alumni download access. Full F&amp;F pipeline is absent.</x:v>
      </x:c>
      <x:c r="G177" s="40" t="str">
        <x:v>PAY-15/13, CLM-02, LC-06/07</x:v>
      </x:c>
      <x:c r="H177" s="40" t="str">
        <x:v>3.2</x:v>
      </x:c>
      <x:c r="I177" s="40" t="str">
        <x:v>plans/phase-3-lifecycle-assets-executive.md; backend/src/modules/lifecycle/lifecycle.router.ts; frontend/src/pages/lifecycle/LifecyclePage.tsx; plans/phase-2-payroll-statutory.md; backend/src/api/router.ts; frontend/src/pages/payroll/PayrollPage.tsx</x:v>
      </x:c>
      <x:c r="J177" s="41" t="n">
        <x:v>0.5</x:v>
      </x:c>
      <x:c r="K177" s="41" t="n">
        <x:v>0.5</x:v>
      </x:c>
      <x:c r="L177" s="40"/>
      <x:c r="M177" s="42"/>
      <x:c r="N177" s="40"/>
      <x:c r="O177" s="40" t="str">
        <x:v>Main SOW business flow absent; any scaffolding is listed in What is done</x:v>
      </x:c>
      <x:c r="P177" s="40" t="str">
        <x:v>No additional completed business flow found beyond What is done. Plan/scaffolding alone does not establish completion.</x:v>
      </x:c>
    </x:row>
    <x:row r="178" ht="72" hidden="0" customHeight="1">
      <x:c r="A178" s="37" t="n">
        <x:v>227</x:v>
      </x:c>
      <x:c r="B178" s="37" t="str">
        <x:v>Final settlement</x:v>
      </x:c>
      <x:c r="C178" s="37" t="str">
        <x:v>Protiviti should offers 2 Full and Final cycle.</x:v>
      </x:c>
      <x:c r="D178" s="37" t="str">
        <x:v>Pending</x:v>
      </x:c>
      <x:c r="E178" s="37" t="str">
        <x:v>F&amp;F/alumni are specified; lifecycle/payroll shells only.</x:v>
      </x:c>
      <x:c r="F178" s="37" t="str">
        <x:v>Build the row-specific settlement input, proof/claim submission, reviewed workings, approved deliverables, two monthly cycles, configurable signed TAT or alumni download access. Full F&amp;F pipeline is absent.</x:v>
      </x:c>
      <x:c r="G178" s="37" t="str">
        <x:v>PAY-15/13, CLM-02, LC-06/07</x:v>
      </x:c>
      <x:c r="H178" s="37" t="str">
        <x:v>3.2</x:v>
      </x:c>
      <x:c r="I178" s="37" t="str">
        <x:v>plans/phase-3-lifecycle-assets-executive.md; backend/src/modules/lifecycle/lifecycle.router.ts; frontend/src/pages/lifecycle/LifecyclePage.tsx; plans/phase-2-payroll-statutory.md; backend/src/api/router.ts; frontend/src/pages/payroll/PayrollPage.tsx</x:v>
      </x:c>
      <x:c r="J178" s="38" t="n">
        <x:v>0.5</x:v>
      </x:c>
      <x:c r="K178" s="38" t="n">
        <x:v>0.5</x:v>
      </x:c>
      <x:c r="L178" s="37" t="str">
        <x:v>1st FnF will be process in AUg 25 </x:v>
      </x:c>
      <x:c r="M178" s="39"/>
      <x:c r="N178" s="37"/>
      <x:c r="O178" s="37" t="str">
        <x:v>Main SOW business flow absent; any scaffolding is listed in What is done</x:v>
      </x:c>
      <x:c r="P178" s="37" t="str">
        <x:v>No additional completed business flow found beyond What is done. Plan/scaffolding alone does not establish completion.</x:v>
      </x:c>
    </x:row>
    <x:row r="179" ht="72" hidden="0" customHeight="1">
      <x:c r="A179" s="40" t="n">
        <x:v>228</x:v>
      </x:c>
      <x:c r="B179" s="40" t="str">
        <x:v>Final settlement</x:v>
      </x:c>
      <x:c r="C179" s="40" t="str">
        <x:v>The turnaround time to process Full and Final is 3 working days.</x:v>
      </x:c>
      <x:c r="D179" s="40" t="str">
        <x:v>Pending</x:v>
      </x:c>
      <x:c r="E179" s="40" t="str">
        <x:v>F&amp;F/alumni are specified; lifecycle/payroll shells only.</x:v>
      </x:c>
      <x:c r="F179" s="40" t="str">
        <x:v>Build the row-specific settlement input, proof/claim submission, reviewed workings, approved deliverables, two monthly cycles, configurable signed TAT or alumni download access. Full F&amp;F pipeline is absent.</x:v>
      </x:c>
      <x:c r="G179" s="40" t="str">
        <x:v>PAY-15/13, CLM-02, LC-06/07</x:v>
      </x:c>
      <x:c r="H179" s="40" t="str">
        <x:v>3.2</x:v>
      </x:c>
      <x:c r="I179" s="40" t="str">
        <x:v>plans/phase-3-lifecycle-assets-executive.md; backend/src/modules/lifecycle/lifecycle.router.ts; frontend/src/pages/lifecycle/LifecyclePage.tsx; plans/phase-2-payroll-statutory.md; backend/src/api/router.ts; frontend/src/pages/payroll/PayrollPage.tsx</x:v>
      </x:c>
      <x:c r="J179" s="41" t="n">
        <x:v>0.5</x:v>
      </x:c>
      <x:c r="K179" s="41" t="n">
        <x:v>0.5</x:v>
      </x:c>
      <x:c r="L179" s="40"/>
      <x:c r="M179" s="42"/>
      <x:c r="N179" s="40"/>
      <x:c r="O179" s="40" t="str">
        <x:v>Main SOW business flow absent; any scaffolding is listed in What is done</x:v>
      </x:c>
      <x:c r="P179" s="40" t="str">
        <x:v>No additional completed business flow found beyond What is done. Plan/scaffolding alone does not establish completion.</x:v>
      </x:c>
    </x:row>
    <x:row r="180" ht="72" hidden="0" customHeight="1">
      <x:c r="A180" s="37" t="n">
        <x:v>229</x:v>
      </x:c>
      <x:c r="B180" s="37" t="str">
        <x:v>Final settlement</x:v>
      </x:c>
      <x:c r="C180" s="37" t="str">
        <x:v>Protiviti would not interact with resigned employees and details
would be shared only to SPOC.</x:v>
      </x:c>
      <x:c r="D180" s="37" t="str">
        <x:v>Manual / service</x:v>
      </x:c>
      <x:c r="E180" s="37" t="str">
        <x:v>Only-SPOC communication is a vendor service/privacy term.</x:v>
      </x:c>
      <x:c r="F180" s="37" t="str">
        <x:v>Confirm who handles exited-employee contact in the replacement; retain agreed SOP. It is not a shipped software feature.</x:v>
      </x:c>
      <x:c r="G180" s="37" t="str">
        <x:v>SOW-10.2 communication restriction</x:v>
      </x:c>
      <x:c r="H180" s="37" t="str">
        <x:v>HR / payroll operations</x:v>
      </x:c>
      <x:c r="I180" s="37" t="str">
        <x:v>Documention_ProtiVity/SOW Tracker .xlsx; docs/08-ROLES-AND-PERMISSIONS.md</x:v>
      </x:c>
      <x:c r="J180" s="38" t="n">
        <x:v>0.5</x:v>
      </x:c>
      <x:c r="K180" s="38" t="n">
        <x:v>0.5</x:v>
      </x:c>
      <x:c r="L180" s="37"/>
      <x:c r="M180" s="39"/>
      <x:c r="N180" s="37"/>
      <x:c r="O180" s="37" t="str">
        <x:v>External/manual completion cannot be proved from repository</x:v>
      </x:c>
      <x:c r="P180" s="37" t="str">
        <x:v>No additional completed business flow found beyond What is done. Plan/scaffolding alone does not establish completion.</x:v>
      </x:c>
    </x:row>
    <x:row r="181" ht="72" hidden="0" customHeight="1">
      <x:c r="A181" s="40" t="n">
        <x:v>230</x:v>
      </x:c>
      <x:c r="B181" s="40" t="str">
        <x:v>Final settlement</x:v>
      </x:c>
      <x:c r="C181" s="40" t="str">
        <x:v>“Alumni portal” access to exit employees need to be
confirmedly Rashmi Metaliks Limited for RML to download</x:v>
      </x:c>
      <x:c r="D181" s="40" t="str">
        <x:v>Pending</x:v>
      </x:c>
      <x:c r="E181" s="40" t="str">
        <x:v>F&amp;F/alumni are specified; lifecycle/payroll shells only.</x:v>
      </x:c>
      <x:c r="F181" s="40" t="str">
        <x:v>Build the row-specific settlement input, proof/claim submission, reviewed workings, approved deliverables, two monthly cycles, configurable signed TAT or alumni download access. Full F&amp;F pipeline is absent.</x:v>
      </x:c>
      <x:c r="G181" s="40" t="str">
        <x:v>PAY-15/13, CLM-02, LC-06/07</x:v>
      </x:c>
      <x:c r="H181" s="40" t="str">
        <x:v>3.2</x:v>
      </x:c>
      <x:c r="I181" s="40" t="str">
        <x:v>plans/phase-3-lifecycle-assets-executive.md; backend/src/modules/lifecycle/lifecycle.router.ts; frontend/src/pages/lifecycle/LifecyclePage.tsx; plans/phase-2-payroll-statutory.md; backend/src/api/router.ts; frontend/src/pages/payroll/PayrollPage.tsx</x:v>
      </x:c>
      <x:c r="J181" s="41" t="n">
        <x:v>0.5</x:v>
      </x:c>
      <x:c r="K181" s="41" t="n">
        <x:v>0.5</x:v>
      </x:c>
      <x:c r="L181" s="40"/>
      <x:c r="M181" s="42"/>
      <x:c r="N181" s="40"/>
      <x:c r="O181" s="40" t="str">
        <x:v>Main SOW business flow absent; any scaffolding is listed in What is done</x:v>
      </x:c>
      <x:c r="P181" s="40" t="str">
        <x:v>No additional completed business flow found beyond What is done. Plan/scaffolding alone does not establish completion.</x:v>
      </x:c>
    </x:row>
  </x:sheetData>
  <x:conditionalFormatting sqref="D6:D181">
    <x:cfRule type="expression" dxfId="0" priority="1">
      <x:formula>$D6="Implemented"</x:formula>
    </x:cfRule>
    <x:cfRule type="expression" dxfId="2" priority="2">
      <x:formula>$D6="Partial"</x:formula>
    </x:cfRule>
    <x:cfRule type="expression" dxfId="4" priority="3">
      <x:formula>$D6="Pending"</x:formula>
    </x:cfRule>
    <x:cfRule type="expression" dxfId="6" priority="4">
      <x:formula>$D6="Manual / service"</x:formula>
    </x:cfRule>
    <x:cfRule type="expression" dxfId="8" priority="5">
      <x:formula>$D6="Scope decision"</x:formula>
    </x:cfRule>
  </x:conditionalFormatting>
  <x:dataValidations count="1">
    <x:dataValidation type="list" sqref="D6:D181">
      <x:formula1>"Implemented,Partial,Pending,Manual / service,Scope decision"</x:formula1>
    </x:dataValidation>
  </x:dataValidations>
  <x:pageMargins left="0.7" right="0.7" top="0.75" bottom="0.75" header="0.3" footer="0.3"/>
  <x:tableParts count="1">
    <x:tablePart xmlns:r="http://schemas.openxmlformats.org/officeDocument/2006/relationships" r:id="R863a7ae6ba8649be"/>
  </x:tableParts>
</x:worksheet>
</file>

<file path=xl/worksheets/sheet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0" hidden="0" customWidth="1"/>
    <x:col min="2" max="2" width="10" hidden="0" customWidth="1"/>
    <x:col min="3" max="3" width="75" hidden="0" customWidth="1"/>
    <x:col min="4" max="4" width="18" hidden="0" customWidth="1"/>
    <x:col min="5" max="5" width="18" hidden="0" customWidth="1"/>
    <x:col min="6" max="6" width="19" hidden="0" customWidth="1"/>
    <x:col min="7" max="7" width="70" hidden="0" customWidth="1"/>
    <x:col min="8" max="8" width="55" hidden="0" customWidth="1"/>
  </x:cols>
  <x:sheetData>
    <x:row r="1">
      <x:c r="A1" s="3" t="str">
        <x:v>Original SOW values snapshot</x:v>
      </x:c>
      <x:c r="B1" s="2"/>
      <x:c r="C1" s="2"/>
      <x:c r="D1" s="2"/>
      <x:c r="E1" s="2"/>
      <x:c r="F1" s="2"/>
      <x:c r="G1" s="2"/>
      <x:c r="H1" s="2"/>
    </x:row>
    <x:row r="2">
      <x:c r="A2" s="2" t="str">
        <x:v>Source: Documention_ProtiVity/SOW Tracker .xlsx, PROTIVITI SOW!A1:G230. Values, not original formulas/styles.</x:v>
      </x:c>
      <x:c r="B2" s="2"/>
      <x:c r="C2" s="2"/>
      <x:c r="D2" s="2"/>
      <x:c r="E2" s="2"/>
      <x:c r="F2" s="2"/>
      <x:c r="G2" s="2"/>
      <x:c r="H2" s="2"/>
    </x:row>
    <x:row r="3">
      <x:c r="A3" s="2"/>
      <x:c r="B3" s="2"/>
      <x:c r="C3" s="2"/>
      <x:c r="D3" s="2"/>
      <x:c r="E3" s="2"/>
      <x:c r="F3" s="2"/>
      <x:c r="G3" s="2"/>
      <x:c r="H3" s="2"/>
    </x:row>
    <x:row r="4" ht="32" customHeight="1">
      <x:c r="A4" s="7" t="str">
        <x:v>Original row</x:v>
      </x:c>
      <x:c r="B4" s="7" t="str">
        <x:v>Source A label</x:v>
      </x:c>
      <x:c r="C4" s="7" t="str">
        <x:v>Source B description</x:v>
      </x:c>
      <x:c r="D4" s="7" t="str">
        <x:v>Source C Protiviti</x:v>
      </x:c>
      <x:c r="E4" s="7" t="str">
        <x:v>Source D RML</x:v>
      </x:c>
      <x:c r="F4" s="7" t="str">
        <x:v>Source E target</x:v>
      </x:c>
      <x:c r="G4" s="7" t="str">
        <x:v>Source F RML remarks</x:v>
      </x:c>
      <x:c r="H4" s="7" t="str">
        <x:v>Source G vendor remarks</x:v>
      </x:c>
    </x:row>
    <x:row r="5" ht="24" hidden="0" customHeight="1">
      <x:c r="A5" s="13" t="n">
        <x:v>1</x:v>
      </x:c>
      <x:c r="B5" s="13"/>
      <x:c r="C5" s="13" t="str">
        <x:v>MODULES</x:v>
      </x:c>
      <x:c r="D5" s="13" t="str">
        <x:v>Status according to Protiviti</x:v>
      </x:c>
      <x:c r="E5" s="13" t="str">
        <x:v>Status according to RML</x:v>
      </x:c>
      <x:c r="F5" s="15" t="str">
        <x:v>Target Date</x:v>
      </x:c>
      <x:c r="G5" s="13" t="str">
        <x:v>Remarks from RML</x:v>
      </x:c>
      <x:c r="H5" s="13" t="str">
        <x:v>Remarks from Protiviti</x:v>
      </x:c>
    </x:row>
    <x:row r="6" ht="15" hidden="0" customHeight="1">
      <x:c r="A6" s="13" t="n">
        <x:v>2</x:v>
      </x:c>
      <x:c r="B6" s="13"/>
      <x:c r="C6" s="13" t="str">
        <x:v>1.One Time setup</x:v>
      </x:c>
      <x:c r="D6" s="14"/>
      <x:c r="E6" s="14"/>
      <x:c r="F6" s="15"/>
      <x:c r="G6" s="13"/>
      <x:c r="H6" s="13"/>
    </x:row>
    <x:row r="7" ht="15" hidden="0" customHeight="1">
      <x:c r="A7" s="13" t="n">
        <x:v>3</x:v>
      </x:c>
      <x:c r="B7" s="13" t="n">
        <x:v>1</x:v>
      </x:c>
      <x:c r="C7" s="13" t="str">
        <x:v>perform changes on software as per client policies and requirements.</x:v>
      </x:c>
      <x:c r="D7" s="14" t="n">
        <x:v>0.5</x:v>
      </x:c>
      <x:c r="E7" s="14" t="n">
        <x:v>0.5</x:v>
      </x:c>
      <x:c r="F7" s="15"/>
      <x:c r="G7" s="13" t="str">
        <x:v>The required changes have not been fully implemented.</x:v>
      </x:c>
      <x:c r="H7" s="13"/>
    </x:row>
    <x:row r="8" ht="15" hidden="0" customHeight="1">
      <x:c r="A8" s="13" t="n">
        <x:v>4</x:v>
      </x:c>
      <x:c r="B8" s="13" t="n">
        <x:v>2</x:v>
      </x:c>
      <x:c r="C8" s="13" t="str">
        <x:v>Setup of client, employees and compensation master</x:v>
      </x:c>
      <x:c r="D8" s="14" t="n">
        <x:v>1</x:v>
      </x:c>
      <x:c r="E8" s="14" t="n">
        <x:v>1</x:v>
      </x:c>
      <x:c r="F8" s="15"/>
      <x:c r="G8" s="13"/>
      <x:c r="H8" s="13"/>
    </x:row>
    <x:row r="9" ht="24" hidden="0" customHeight="1">
      <x:c r="A9" s="13" t="n">
        <x:v>5</x:v>
      </x:c>
      <x:c r="B9" s="13" t="n">
        <x:v>3</x:v>
      </x:c>
      <x:c r="C9" s="13" t="str">
        <x:v>Transfer of data for the previous months of the current financial year, the previous financial year any prior financial year before that as required in good faith.</x:v>
      </x:c>
      <x:c r="D9" s="14" t="n">
        <x:v>1</x:v>
      </x:c>
      <x:c r="E9" s="14" t="n">
        <x:v>1</x:v>
      </x:c>
      <x:c r="F9" s="15"/>
      <x:c r="G9" s="13" t="str">
        <x:v>complete data transfer done from adrenalin</x:v>
      </x:c>
      <x:c r="H9" s="13"/>
    </x:row>
    <x:row r="10" ht="15" hidden="0" customHeight="1">
      <x:c r="A10" s="13" t="n">
        <x:v>6</x:v>
      </x:c>
      <x:c r="B10" s="13"/>
      <x:c r="C10" s="13" t="str">
        <x:v>2. CORE HR Module</x:v>
      </x:c>
      <x:c r="D10" s="14"/>
      <x:c r="E10" s="14"/>
      <x:c r="F10" s="15"/>
      <x:c r="G10" s="13"/>
      <x:c r="H10" s="13"/>
    </x:row>
    <x:row r="11" ht="15" hidden="0" customHeight="1">
      <x:c r="A11" s="13" t="n">
        <x:v>7</x:v>
      </x:c>
      <x:c r="B11" s="13"/>
      <x:c r="C11" s="13" t="str">
        <x:v>2.1Employee Data Management</x:v>
      </x:c>
      <x:c r="D11" s="14"/>
      <x:c r="E11" s="14"/>
      <x:c r="F11" s="15"/>
      <x:c r="G11" s="13"/>
      <x:c r="H11" s="13"/>
    </x:row>
    <x:row r="12" ht="24" hidden="0" customHeight="1">
      <x:c r="A12" s="13" t="n">
        <x:v>8</x:v>
      </x:c>
      <x:c r="B12" s="13" t="str">
        <x:v>a</x:v>
      </x:c>
      <x:c r="C12" s="13" t="str">
        <x:v>Management of centralized repository for employee master data, including personal, employment,  and financial details.</x:v>
      </x:c>
      <x:c r="D12" s="14" t="n">
        <x:v>1</x:v>
      </x:c>
      <x:c r="E12" s="14" t="n">
        <x:v>1</x:v>
      </x:c>
      <x:c r="F12" s="15"/>
      <x:c r="G12" s="13"/>
      <x:c r="H12" s="13"/>
    </x:row>
    <x:row r="13" ht="15" hidden="0" customHeight="1">
      <x:c r="A13" s="13" t="n">
        <x:v>9</x:v>
      </x:c>
      <x:c r="B13" s="13" t="str">
        <x:v>b</x:v>
      </x:c>
      <x:c r="C13" s="13" t="str">
        <x:v>Providing secure access controls based on roles and permissions</x:v>
      </x:c>
      <x:c r="D13" s="14" t="n">
        <x:v>1</x:v>
      </x:c>
      <x:c r="E13" s="14" t="n">
        <x:v>1</x:v>
      </x:c>
      <x:c r="F13" s="15"/>
      <x:c r="G13" s="13"/>
      <x:c r="H13" s="13"/>
    </x:row>
    <x:row r="14" ht="15" hidden="0" customHeight="1">
      <x:c r="A14" s="13" t="n">
        <x:v>10</x:v>
      </x:c>
      <x:c r="B14" s="13" t="str">
        <x:v>c</x:v>
      </x:c>
      <x:c r="C14" s="13" t="str">
        <x:v>Integration with other Systems, as necessary.</x:v>
      </x:c>
      <x:c r="D14" s="14" t="n">
        <x:v>1</x:v>
      </x:c>
      <x:c r="E14" s="14" t="n">
        <x:v>1</x:v>
      </x:c>
      <x:c r="F14" s="15"/>
      <x:c r="G14" s="13"/>
      <x:c r="H14" s="13"/>
    </x:row>
    <x:row r="15" ht="15" hidden="0" customHeight="1">
      <x:c r="A15" s="13" t="n">
        <x:v>11</x:v>
      </x:c>
      <x:c r="B15" s="13"/>
      <x:c r="C15" s="13" t="str">
        <x:v>2.2Compensation Structuring on Tool</x:v>
      </x:c>
      <x:c r="D15" s="14"/>
      <x:c r="E15" s="14"/>
      <x:c r="F15" s="15"/>
      <x:c r="G15" s="13"/>
      <x:c r="H15" s="13"/>
    </x:row>
    <x:row r="16" ht="15" hidden="0" customHeight="1">
      <x:c r="A16" s="13" t="n">
        <x:v>12</x:v>
      </x:c>
      <x:c r="B16" s="13" t="str">
        <x:v>a</x:v>
      </x:c>
      <x:c r="C16" s="13" t="str">
        <x:v>Defining multiple pay structures based on grades, job levels, and locations.</x:v>
      </x:c>
      <x:c r="D16" s="14" t="n">
        <x:v>1</x:v>
      </x:c>
      <x:c r="E16" s="14" t="n">
        <x:v>1</x:v>
      </x:c>
      <x:c r="F16" s="15"/>
      <x:c r="G16" s="13"/>
      <x:c r="H16" s="13"/>
    </x:row>
    <x:row r="17" ht="15" hidden="0" customHeight="1">
      <x:c r="A17" s="13" t="n">
        <x:v>13</x:v>
      </x:c>
      <x:c r="B17" s="13" t="str">
        <x:v>b</x:v>
      </x:c>
      <x:c r="C17" s="13" t="str">
        <x:v>handling basic pay, allowances, deductions, reimbursements, and performance-linked incentives.</x:v>
      </x:c>
      <x:c r="D17" s="14" t="n">
        <x:v>1</x:v>
      </x:c>
      <x:c r="E17" s="14" t="n">
        <x:v>1</x:v>
      </x:c>
      <x:c r="F17" s="15"/>
      <x:c r="G17" s="13"/>
      <x:c r="H17" s="13"/>
    </x:row>
    <x:row r="18" ht="15" hidden="0" customHeight="1">
      <x:c r="A18" s="13" t="n">
        <x:v>14</x:v>
      </x:c>
      <x:c r="B18" s="13" t="str">
        <x:v>c</x:v>
      </x:c>
      <x:c r="C18" s="13" t="str">
        <x:v>customization for CTC breakup, flexi-benefits, and perquisites</x:v>
      </x:c>
      <x:c r="D18" s="14" t="n">
        <x:v>1</x:v>
      </x:c>
      <x:c r="E18" s="14" t="n">
        <x:v>1</x:v>
      </x:c>
      <x:c r="F18" s="15"/>
      <x:c r="G18" s="13"/>
      <x:c r="H18" s="13"/>
    </x:row>
    <x:row r="19" ht="15" hidden="0" customHeight="1">
      <x:c r="A19" s="13" t="n">
        <x:v>15</x:v>
      </x:c>
      <x:c r="B19" s="13" t="n">
        <x:v>3</x:v>
      </x:c>
      <x:c r="C19" s="13" t="str">
        <x:v>2.3Policy Enforcement &amp; Compliance Tracking</x:v>
      </x:c>
      <x:c r="D19" s="14"/>
      <x:c r="E19" s="14"/>
      <x:c r="F19" s="15"/>
      <x:c r="G19" s="13"/>
      <x:c r="H19" s="13"/>
    </x:row>
    <x:row r="20" ht="15" hidden="0" customHeight="1">
      <x:c r="A20" s="13" t="n">
        <x:v>16</x:v>
      </x:c>
      <x:c r="B20" s="13" t="str">
        <x:v>a</x:v>
      </x:c>
      <x:c r="C20" s="13" t="str">
        <x:v>Platform automated policy updates on portal and employee communication</x:v>
      </x:c>
      <x:c r="D20" s="14" t="n">
        <x:v>1</x:v>
      </x:c>
      <x:c r="E20" s="14" t="n">
        <x:v>1</x:v>
      </x:c>
      <x:c r="F20" s="15"/>
      <x:c r="G20" s="13" t="str">
        <x:v>policy adherence is active , as per ready RML policies</x:v>
      </x:c>
      <x:c r="H20" s="13"/>
    </x:row>
    <x:row r="21" ht="15" hidden="0" customHeight="1">
      <x:c r="A21" s="13" t="n">
        <x:v>17</x:v>
      </x:c>
      <x:c r="B21" s="13" t="str">
        <x:v>b</x:v>
      </x:c>
      <x:c r="C21" s="13" t="str">
        <x:v>Platform real-time tracking of policy adherence</x:v>
      </x:c>
      <x:c r="D21" s="14" t="n">
        <x:v>1</x:v>
      </x:c>
      <x:c r="E21" s="14" t="n">
        <x:v>1</x:v>
      </x:c>
      <x:c r="F21" s="15"/>
      <x:c r="G21" s="13"/>
      <x:c r="H21" s="13"/>
    </x:row>
    <x:row r="22" ht="15" hidden="0" customHeight="1">
      <x:c r="A22" s="13" t="n">
        <x:v>18</x:v>
      </x:c>
      <x:c r="B22" s="13" t="str">
        <x:v>c</x:v>
      </x:c>
      <x:c r="C22" s="13" t="str">
        <x:v>Real-Time Policy Acknowledgement Tracking and automated alerts for non-compliance .</x:v>
      </x:c>
      <x:c r="D22" s="14" t="n">
        <x:v>1</x:v>
      </x:c>
      <x:c r="E22" s="14" t="n">
        <x:v>1</x:v>
      </x:c>
      <x:c r="F22" s="15"/>
      <x:c r="G22" s="13"/>
      <x:c r="H22" s="13"/>
    </x:row>
    <x:row r="23" ht="15" hidden="0" customHeight="1">
      <x:c r="A23" s="13" t="n">
        <x:v>19</x:v>
      </x:c>
      <x:c r="B23" s="13" t="str">
        <x:v>d</x:v>
      </x:c>
      <x:c r="C23" s="13" t="str">
        <x:v>Platform Dashboard for HR and management reporting.</x:v>
      </x:c>
      <x:c r="D23" s="14" t="n">
        <x:v>0</x:v>
      </x:c>
      <x:c r="E23" s="14" t="n">
        <x:v>0</x:v>
      </x:c>
      <x:c r="F23" s="15" t="d">
        <x:v>2025-08-31T00:00:00.000Z</x:v>
      </x:c>
      <x:c r="G23" s="13" t="str">
        <x:v>not ready </x:v>
      </x:c>
      <x:c r="H23" s="13"/>
    </x:row>
    <x:row r="24" ht="15" hidden="0" customHeight="1">
      <x:c r="A24" s="13" t="n">
        <x:v>20</x:v>
      </x:c>
      <x:c r="B24" s="13"/>
      <x:c r="C24" s="13" t="str">
        <x:v>3. WORKFORCE Module</x:v>
      </x:c>
      <x:c r="D24" s="14"/>
      <x:c r="E24" s="14"/>
      <x:c r="F24" s="15"/>
      <x:c r="G24" s="13"/>
      <x:c r="H24" s="13"/>
    </x:row>
    <x:row r="25" ht="15" hidden="0" customHeight="1">
      <x:c r="A25" s="13" t="n">
        <x:v>21</x:v>
      </x:c>
      <x:c r="B25" s="13" t="n">
        <x:v>1</x:v>
      </x:c>
      <x:c r="C25" s="13" t="str">
        <x:v>3.1Offer Management</x:v>
      </x:c>
      <x:c r="D25" s="14"/>
      <x:c r="E25" s="14"/>
      <x:c r="F25" s="15"/>
      <x:c r="G25" s="13"/>
      <x:c r="H25" s="13"/>
    </x:row>
    <x:row r="26" ht="15" hidden="0" customHeight="1">
      <x:c r="A26" s="13" t="n">
        <x:v>22</x:v>
      </x:c>
      <x:c r="B26" s="13" t="str">
        <x:v>a</x:v>
      </x:c>
      <x:c r="C26" s="13" t="str">
        <x:v>Generation of offer letter and approvals.</x:v>
      </x:c>
      <x:c r="D26" s="14" t="n">
        <x:v>0.7</x:v>
      </x:c>
      <x:c r="E26" s="14" t="n">
        <x:v>0.7</x:v>
      </x:c>
      <x:c r="F26" s="15"/>
      <x:c r="G26" s="13" t="str">
        <x:v>Once the ATS get implemented it will get solved</x:v>
      </x:c>
      <x:c r="H26" s="13"/>
    </x:row>
    <x:row r="27" ht="15" hidden="0" customHeight="1">
      <x:c r="A27" s="13" t="n">
        <x:v>23</x:v>
      </x:c>
      <x:c r="B27" s="13" t="str">
        <x:v>b</x:v>
      </x:c>
      <x:c r="C27" s="13" t="str">
        <x:v>Tracking appointment letters.</x:v>
      </x:c>
      <x:c r="D27" s="14" t="n">
        <x:v>1</x:v>
      </x:c>
      <x:c r="E27" s="14" t="n">
        <x:v>1</x:v>
      </x:c>
      <x:c r="F27" s="15"/>
      <x:c r="G27" s="13" t="str">
        <x:v>Letter is geting generated and is available on ESS portal</x:v>
      </x:c>
      <x:c r="H27" s="13"/>
    </x:row>
    <x:row r="28" ht="15" hidden="0" customHeight="1">
      <x:c r="A28" s="13" t="n">
        <x:v>24</x:v>
      </x:c>
      <x:c r="B28" s="13" t="n">
        <x:v>2</x:v>
      </x:c>
      <x:c r="C28" s="13" t="str">
        <x:v>3.2Onboarding &amp; Employee Engagement</x:v>
      </x:c>
      <x:c r="D28" s="14"/>
      <x:c r="E28" s="14"/>
      <x:c r="F28" s="15"/>
      <x:c r="G28" s="13"/>
      <x:c r="H28" s="13"/>
    </x:row>
    <x:row r="29" ht="24" hidden="0" customHeight="1">
      <x:c r="A29" s="13" t="n">
        <x:v>25</x:v>
      </x:c>
      <x:c r="B29" s="13" t="str">
        <x:v>a</x:v>
      </x:c>
      <x:c r="C29" s="13" t="str">
        <x:v>Updation of candidate information by capturing through personal email.</x:v>
      </x:c>
      <x:c r="D29" s="14" t="n">
        <x:v>1</x:v>
      </x:c>
      <x:c r="E29" s="14" t="n">
        <x:v>1</x:v>
      </x:c>
      <x:c r="F29" s="15"/>
      <x:c r="G29" s="13" t="str">
        <x:v>It has been observed that a few candidates are not receiving the pre-joining link required to fill in their details.</x:v>
      </x:c>
      <x:c r="H29" s="13"/>
    </x:row>
    <x:row r="30" ht="15" hidden="0" customHeight="1">
      <x:c r="A30" s="13" t="n">
        <x:v>26</x:v>
      </x:c>
      <x:c r="B30" s="13" t="str">
        <x:v>b</x:v>
      </x:c>
      <x:c r="C30" s="13" t="str">
        <x:v>Platform auto CTC structuring based on predefined templates.</x:v>
      </x:c>
      <x:c r="D30" s="14" t="n">
        <x:v>1</x:v>
      </x:c>
      <x:c r="E30" s="14" t="n">
        <x:v>1</x:v>
      </x:c>
      <x:c r="F30" s="15"/>
      <x:c r="G30" s="13"/>
      <x:c r="H30" s="13"/>
    </x:row>
    <x:row r="31" ht="15" hidden="0" customHeight="1">
      <x:c r="A31" s="13" t="n">
        <x:v>27</x:v>
      </x:c>
      <x:c r="B31" s="13" t="str">
        <x:v>c</x:v>
      </x:c>
      <x:c r="C31" s="13" t="str">
        <x:v>Management of flexi-basket benefits and reimbursements.</x:v>
      </x:c>
      <x:c r="D31" s="14" t="n">
        <x:v>1</x:v>
      </x:c>
      <x:c r="E31" s="14" t="n">
        <x:v>1</x:v>
      </x:c>
      <x:c r="F31" s="15"/>
      <x:c r="G31" s="13" t="str">
        <x:v>RML to propose policy</x:v>
      </x:c>
      <x:c r="H31" s="13"/>
    </x:row>
    <x:row r="32" ht="15" hidden="0" customHeight="1">
      <x:c r="A32" s="13" t="n">
        <x:v>28</x:v>
      </x:c>
      <x:c r="B32" s="13" t="str">
        <x:v>d</x:v>
      </x:c>
      <x:c r="C32" s="13" t="str">
        <x:v>Employee investment declarations for tax planning.</x:v>
      </x:c>
      <x:c r="D32" s="14" t="n">
        <x:v>1</x:v>
      </x:c>
      <x:c r="E32" s="14" t="n">
        <x:v>1</x:v>
      </x:c>
      <x:c r="F32" s="15"/>
      <x:c r="G32" s="13"/>
      <x:c r="H32" s="13"/>
    </x:row>
    <x:row r="33" ht="15" hidden="0" customHeight="1">
      <x:c r="A33" s="13" t="n">
        <x:v>29</x:v>
      </x:c>
      <x:c r="B33" s="13" t="str">
        <x:v>e</x:v>
      </x:c>
      <x:c r="C33" s="13" t="str">
        <x:v>Employee loan processing on ESS portal and approval workflow .</x:v>
      </x:c>
      <x:c r="D33" s="14" t="n">
        <x:v>1</x:v>
      </x:c>
      <x:c r="E33" s="14" t="n">
        <x:v>1</x:v>
      </x:c>
      <x:c r="F33" s="15"/>
      <x:c r="G33" s="13"/>
      <x:c r="H33" s="13"/>
    </x:row>
    <x:row r="34" ht="15" hidden="0" customHeight="1">
      <x:c r="A34" s="13" t="n">
        <x:v>30</x:v>
      </x:c>
      <x:c r="B34" s="13" t="str">
        <x:v>f</x:v>
      </x:c>
      <x:c r="C34" s="13" t="str">
        <x:v>Payslip and tax sheet generation for onboarding employees.</x:v>
      </x:c>
      <x:c r="D34" s="14" t="n">
        <x:v>1</x:v>
      </x:c>
      <x:c r="E34" s="14" t="n">
        <x:v>1</x:v>
      </x:c>
      <x:c r="F34" s="15"/>
      <x:c r="G34" s="13"/>
      <x:c r="H34" s="13"/>
    </x:row>
    <x:row r="35" ht="15" hidden="0" customHeight="1">
      <x:c r="A35" s="13" t="n">
        <x:v>31</x:v>
      </x:c>
      <x:c r="B35" s="13" t="str">
        <x:v>g</x:v>
      </x:c>
      <x:c r="C35" s="13" t="str">
        <x:v>capturing previous employment details.</x:v>
      </x:c>
      <x:c r="D35" s="14" t="n">
        <x:v>1</x:v>
      </x:c>
      <x:c r="E35" s="14" t="n">
        <x:v>1</x:v>
      </x:c>
      <x:c r="F35" s="15"/>
      <x:c r="G35" s="13"/>
      <x:c r="H35" s="13"/>
    </x:row>
    <x:row r="36" ht="15" hidden="0" customHeight="1">
      <x:c r="A36" s="13" t="n">
        <x:v>32</x:v>
      </x:c>
      <x:c r="B36" s="13" t="n">
        <x:v>3</x:v>
      </x:c>
      <x:c r="C36" s="13" t="str">
        <x:v>3.3Employee Confirmation Process</x:v>
      </x:c>
      <x:c r="D36" s="14"/>
      <x:c r="E36" s="14"/>
      <x:c r="F36" s="15"/>
      <x:c r="G36" s="13"/>
      <x:c r="H36" s="13"/>
    </x:row>
    <x:row r="37" ht="15" hidden="0" customHeight="1">
      <x:c r="A37" s="13" t="n">
        <x:v>33</x:v>
      </x:c>
      <x:c r="B37" s="13" t="str">
        <x:v>a</x:v>
      </x:c>
      <x:c r="C37" s="13" t="str">
        <x:v>Probation review tracking and automated reminders</x:v>
      </x:c>
      <x:c r="D37" s="14" t="n">
        <x:v>0.7</x:v>
      </x:c>
      <x:c r="E37" s="14" t="n">
        <x:v>0.7</x:v>
      </x:c>
      <x:c r="F37" s="15" t="d">
        <x:v>2025-08-13T00:00:00.000Z</x:v>
      </x:c>
      <x:c r="G37" s="13" t="str">
        <x:v>Change of Approval flow &amp; Team is working on it.</x:v>
      </x:c>
      <x:c r="H37" s="13"/>
    </x:row>
    <x:row r="38" ht="15" hidden="0" customHeight="1">
      <x:c r="A38" s="13" t="n">
        <x:v>34</x:v>
      </x:c>
      <x:c r="B38" s="13" t="str">
        <x:v>b</x:v>
      </x:c>
      <x:c r="C38" s="13" t="str">
        <x:v>Updating multi-level approval workflows for employee confirmation</x:v>
      </x:c>
      <x:c r="D38" s="14" t="n">
        <x:v>0.7</x:v>
      </x:c>
      <x:c r="E38" s="14" t="n">
        <x:v>0.7</x:v>
      </x:c>
      <x:c r="F38" s="15"/>
      <x:c r="G38" s="13" t="str">
        <x:v>RML will know once probation is complete</x:v>
      </x:c>
      <x:c r="H38" s="13"/>
    </x:row>
    <x:row r="39" ht="15" hidden="0" customHeight="1">
      <x:c r="A39" s="13" t="n">
        <x:v>35</x:v>
      </x:c>
      <x:c r="B39" s="13" t="n">
        <x:v>4</x:v>
      </x:c>
      <x:c r="C39" s="13" t="str">
        <x:v>3.4Employee Transfers</x:v>
      </x:c>
      <x:c r="D39" s="14"/>
      <x:c r="E39" s="14"/>
      <x:c r="F39" s="15"/>
      <x:c r="G39" s="13"/>
      <x:c r="H39" s="13"/>
    </x:row>
    <x:row r="40" ht="15" hidden="0" customHeight="1">
      <x:c r="A40" s="13" t="n">
        <x:v>36</x:v>
      </x:c>
      <x:c r="B40" s="13" t="str">
        <x:v>a</x:v>
      </x:c>
      <x:c r="C40" s="13" t="str">
        <x:v>Platform automated workflow for internal department/location transfers.</x:v>
      </x:c>
      <x:c r="D40" s="14" t="n">
        <x:v>1</x:v>
      </x:c>
      <x:c r="E40" s="14" t="n">
        <x:v>1</x:v>
      </x:c>
      <x:c r="F40" s="15"/>
      <x:c r="G40" s="13"/>
      <x:c r="H40" s="13"/>
    </x:row>
    <x:row r="41" ht="15" hidden="0" customHeight="1">
      <x:c r="A41" s="13" t="n">
        <x:v>37</x:v>
      </x:c>
      <x:c r="B41" s="13" t="str">
        <x:v>b</x:v>
      </x:c>
      <x:c r="C41" s="13" t="str">
        <x:v>Platform-driven approvals and documentation updates.</x:v>
      </x:c>
      <x:c r="D41" s="14" t="n">
        <x:v>1</x:v>
      </x:c>
      <x:c r="E41" s="14" t="n">
        <x:v>1</x:v>
      </x:c>
      <x:c r="F41" s="15"/>
      <x:c r="G41" s="13"/>
      <x:c r="H41" s="13"/>
    </x:row>
    <x:row r="42" ht="15" hidden="0" customHeight="1">
      <x:c r="A42" s="13" t="n">
        <x:v>38</x:v>
      </x:c>
      <x:c r="B42" s="13" t="str">
        <x:v>c</x:v>
      </x:c>
      <x:c r="C42" s="13" t="str">
        <x:v>compensation and role change updates in HRMS.</x:v>
      </x:c>
      <x:c r="D42" s="14" t="n">
        <x:v>1</x:v>
      </x:c>
      <x:c r="E42" s="14" t="n">
        <x:v>1</x:v>
      </x:c>
      <x:c r="F42" s="15"/>
      <x:c r="G42" s="13"/>
      <x:c r="H42" s="13"/>
    </x:row>
    <x:row r="43" ht="15" hidden="0" customHeight="1">
      <x:c r="A43" s="13" t="n">
        <x:v>39</x:v>
      </x:c>
      <x:c r="B43" s="13" t="n">
        <x:v>5</x:v>
      </x:c>
      <x:c r="C43" s="13" t="str">
        <x:v>3.5Employee Separation &amp; Exit Management</x:v>
      </x:c>
      <x:c r="D43" s="14"/>
      <x:c r="E43" s="14"/>
      <x:c r="F43" s="15"/>
      <x:c r="G43" s="13"/>
      <x:c r="H43" s="13"/>
    </x:row>
    <x:row r="44" ht="15" hidden="0" customHeight="1">
      <x:c r="A44" s="13" t="n">
        <x:v>40</x:v>
      </x:c>
      <x:c r="B44" s="13" t="str">
        <x:v>a</x:v>
      </x:c>
      <x:c r="C44" s="13" t="str">
        <x:v>• Resignation initiation, tracking, and approval workflows.</x:v>
      </x:c>
      <x:c r="D44" s="14" t="n">
        <x:v>1</x:v>
      </x:c>
      <x:c r="E44" s="14" t="n">
        <x:v>1</x:v>
      </x:c>
      <x:c r="F44" s="15"/>
      <x:c r="G44" s="13"/>
      <x:c r="H44" s="13"/>
    </x:row>
    <x:row r="45" ht="15" hidden="0" customHeight="1">
      <x:c r="A45" s="13" t="n">
        <x:v>41</x:v>
      </x:c>
      <x:c r="B45" s="13" t="str">
        <x:v>b</x:v>
      </x:c>
      <x:c r="C45" s="13" t="str">
        <x:v>• Digital clearance process across departments (IT, Admin, Finance)</x:v>
      </x:c>
      <x:c r="D45" s="14" t="n">
        <x:v>1</x:v>
      </x:c>
      <x:c r="E45" s="14" t="n">
        <x:v>1</x:v>
      </x:c>
      <x:c r="F45" s="15"/>
      <x:c r="G45" s="13"/>
      <x:c r="H45" s="13"/>
    </x:row>
    <x:row r="46" ht="15" hidden="0" customHeight="1">
      <x:c r="A46" s="13" t="n">
        <x:v>42</x:v>
      </x:c>
      <x:c r="B46" s="13" t="str">
        <x:v>c</x:v>
      </x:c>
      <x:c r="C46" s="13" t="str">
        <x:v>• Final settlement and compliance with statutory requirements.</x:v>
      </x:c>
      <x:c r="D46" s="14" t="n">
        <x:v>0.7</x:v>
      </x:c>
      <x:c r="E46" s="14" t="n">
        <x:v>0.7</x:v>
      </x:c>
      <x:c r="F46" s="15" t="d">
        <x:v>2025-08-18T00:00:00.000Z</x:v>
      </x:c>
      <x:c r="G46" s="13" t="str">
        <x:v>FnF to run for 1st time in Aug 25</x:v>
      </x:c>
      <x:c r="H46" s="13"/>
    </x:row>
    <x:row r="47" ht="15" hidden="0" customHeight="1">
      <x:c r="A47" s="13" t="n">
        <x:v>43</x:v>
      </x:c>
      <x:c r="B47" s="13" t="n">
        <x:v>6</x:v>
      </x:c>
      <x:c r="C47" s="13" t="str">
        <x:v>3.6Employee Letters Management</x:v>
      </x:c>
      <x:c r="D47" s="14"/>
      <x:c r="E47" s="14"/>
      <x:c r="F47" s="15"/>
      <x:c r="G47" s="13"/>
      <x:c r="H47" s="13"/>
    </x:row>
    <x:row r="48" ht="48" hidden="0" customHeight="1">
      <x:c r="A48" s="13" t="n">
        <x:v>44</x:v>
      </x:c>
      <x:c r="B48" s="13" t="str">
        <x:v>a</x:v>
      </x:c>
      <x:c r="C48" s="13" t="str">
        <x:v>• Generation of various employee-related letters, including:
 o Experience letters
 o Relieving letters
 o Salary certificates</x:v>
      </x:c>
      <x:c r="D48" s="14" t="n">
        <x:v>1</x:v>
      </x:c>
      <x:c r="E48" s="14" t="n">
        <x:v>1</x:v>
      </x:c>
      <x:c r="F48" s="15"/>
      <x:c r="G48" s="13"/>
      <x:c r="H48" s="13"/>
    </x:row>
    <x:row r="49" ht="15" hidden="0" customHeight="1">
      <x:c r="A49" s="13" t="n">
        <x:v>45</x:v>
      </x:c>
      <x:c r="B49" s="13"/>
      <x:c r="C49" s="13" t="str">
        <x:v>4. Leave&amp; Attendance Management Module</x:v>
      </x:c>
      <x:c r="D49" s="14"/>
      <x:c r="E49" s="14"/>
      <x:c r="F49" s="15"/>
      <x:c r="G49" s="13"/>
      <x:c r="H49" s="13"/>
    </x:row>
    <x:row r="50" ht="15" hidden="0" customHeight="1">
      <x:c r="A50" s="13" t="n">
        <x:v>46</x:v>
      </x:c>
      <x:c r="B50" s="13" t="n">
        <x:v>1</x:v>
      </x:c>
      <x:c r="C50" s="13" t="str">
        <x:v>Shift Management</x:v>
      </x:c>
      <x:c r="D50" s="14"/>
      <x:c r="E50" s="14"/>
      <x:c r="F50" s="15"/>
      <x:c r="G50" s="13"/>
      <x:c r="H50" s="13"/>
    </x:row>
    <x:row r="51" ht="15" hidden="0" customHeight="1">
      <x:c r="A51" s="13" t="n">
        <x:v>47</x:v>
      </x:c>
      <x:c r="B51" s="13" t="str">
        <x:v>a</x:v>
      </x:c>
      <x:c r="C51" s="13" t="str">
        <x:v>Defining and configuring multiple shift types (fixed, rotational, flexible, night shifts, etc.).</x:v>
      </x:c>
      <x:c r="D51" s="14" t="n">
        <x:v>1</x:v>
      </x:c>
      <x:c r="E51" s="14" t="n">
        <x:v>1</x:v>
      </x:c>
      <x:c r="F51" s="15"/>
      <x:c r="G51" s="13"/>
      <x:c r="H51" s="13"/>
    </x:row>
    <x:row r="52" ht="15" hidden="0" customHeight="1">
      <x:c r="A52" s="13" t="n">
        <x:v>48</x:v>
      </x:c>
      <x:c r="B52" s="13" t="str">
        <x:v>b</x:v>
      </x:c>
      <x:c r="C52" s="13" t="str">
        <x:v>Platform automated shift scheduling and roster management.</x:v>
      </x:c>
      <x:c r="D52" s="14" t="n">
        <x:v>1</x:v>
      </x:c>
      <x:c r="E52" s="14" t="n">
        <x:v>1</x:v>
      </x:c>
      <x:c r="F52" s="15"/>
      <x:c r="G52" s="13"/>
      <x:c r="H52" s="13"/>
    </x:row>
    <x:row r="53" ht="15" hidden="0" customHeight="1">
      <x:c r="A53" s="13" t="n">
        <x:v>49</x:v>
      </x:c>
      <x:c r="B53" s="13" t="str">
        <x:v>c</x:v>
      </x:c>
      <x:c r="C53" s="13" t="str">
        <x:v>Integration with biometric systems.</x:v>
      </x:c>
      <x:c r="D53" s="14" t="n">
        <x:v>1</x:v>
      </x:c>
      <x:c r="E53" s="14" t="n">
        <x:v>1</x:v>
      </x:c>
      <x:c r="F53" s="15"/>
      <x:c r="G53" s="13"/>
      <x:c r="H53" s="13"/>
    </x:row>
    <x:row r="54" ht="15" hidden="0" customHeight="1">
      <x:c r="A54" s="13" t="n">
        <x:v>50</x:v>
      </x:c>
      <x:c r="B54" s="13" t="n">
        <x:v>2</x:v>
      </x:c>
      <x:c r="C54" s="13" t="str">
        <x:v>Attendance Tracking</x:v>
      </x:c>
      <x:c r="D54" s="14"/>
      <x:c r="E54" s="14"/>
      <x:c r="F54" s="15"/>
      <x:c r="G54" s="13"/>
      <x:c r="H54" s="13"/>
    </x:row>
    <x:row r="55" ht="15" hidden="0" customHeight="1">
      <x:c r="A55" s="13" t="n">
        <x:v>51</x:v>
      </x:c>
      <x:c r="B55" s="13" t="str">
        <x:v>a</x:v>
      </x:c>
      <x:c r="C55" s="13" t="str">
        <x:v>management of real-time biometric attendance integration in system.</x:v>
      </x:c>
      <x:c r="D55" s="14" t="n">
        <x:v>1</x:v>
      </x:c>
      <x:c r="E55" s="14" t="n">
        <x:v>1</x:v>
      </x:c>
      <x:c r="F55" s="15"/>
      <x:c r="G55" s="13"/>
      <x:c r="H55" s="13"/>
    </x:row>
    <x:row r="56" ht="15" hidden="0" customHeight="1">
      <x:c r="A56" s="13" t="n">
        <x:v>52</x:v>
      </x:c>
      <x:c r="B56" s="13" t="str">
        <x:v>b</x:v>
      </x:c>
      <x:c r="C56" s="13" t="str">
        <x:v>integration with access control systems for seamless tracking.</x:v>
      </x:c>
      <x:c r="D56" s="14" t="n">
        <x:v>1</x:v>
      </x:c>
      <x:c r="E56" s="14" t="n">
        <x:v>1</x:v>
      </x:c>
      <x:c r="F56" s="15"/>
      <x:c r="G56" s="13"/>
      <x:c r="H56" s="13"/>
    </x:row>
    <x:row r="57" ht="15" hidden="0" customHeight="1">
      <x:c r="A57" s="13" t="n">
        <x:v>53</x:v>
      </x:c>
      <x:c r="B57" s="13" t="str">
        <x:v>c</x:v>
      </x:c>
      <x:c r="C57" s="13" t="str">
        <x:v>Platform automated late coming and early leaving reports.</x:v>
      </x:c>
      <x:c r="D57" s="14" t="n">
        <x:v>1</x:v>
      </x:c>
      <x:c r="E57" s="14" t="n">
        <x:v>1</x:v>
      </x:c>
      <x:c r="F57" s="15"/>
      <x:c r="G57" s="13" t="str">
        <x:v>policy adhered</x:v>
      </x:c>
      <x:c r="H57" s="13"/>
    </x:row>
    <x:row r="58" ht="15" hidden="0" customHeight="1">
      <x:c r="A58" s="13" t="n">
        <x:v>54</x:v>
      </x:c>
      <x:c r="B58" s="13" t="str">
        <x:v>d</x:v>
      </x:c>
      <x:c r="C58" s="13" t="str">
        <x:v>Platform alerts for absenteeism, regularization requests, and policy violations</x:v>
      </x:c>
      <x:c r="D58" s="14" t="n">
        <x:v>1</x:v>
      </x:c>
      <x:c r="E58" s="14" t="n">
        <x:v>1</x:v>
      </x:c>
      <x:c r="F58" s="15"/>
      <x:c r="G58" s="13"/>
      <x:c r="H58" s="13"/>
    </x:row>
    <x:row r="59" ht="15" hidden="0" customHeight="1">
      <x:c r="A59" s="13" t="n">
        <x:v>55</x:v>
      </x:c>
      <x:c r="B59" s="13" t="n">
        <x:v>3</x:v>
      </x:c>
      <x:c r="C59" s="13" t="str">
        <x:v>Leave Management</x:v>
      </x:c>
      <x:c r="D59" s="14"/>
      <x:c r="E59" s="14"/>
      <x:c r="F59" s="15"/>
      <x:c r="G59" s="13"/>
      <x:c r="H59" s="13"/>
    </x:row>
    <x:row r="60" ht="15" hidden="0" customHeight="1">
      <x:c r="A60" s="13" t="n">
        <x:v>56</x:v>
      </x:c>
      <x:c r="B60" s="13" t="str">
        <x:v>a</x:v>
      </x:c>
      <x:c r="C60" s="13" t="str">
        <x:v>Configuration of leave types (annual, sick, maternity, casual, etc.).</x:v>
      </x:c>
      <x:c r="D60" s="14" t="n">
        <x:v>1</x:v>
      </x:c>
      <x:c r="E60" s="14" t="n">
        <x:v>1</x:v>
      </x:c>
      <x:c r="F60" s="15"/>
      <x:c r="G60" s="13"/>
      <x:c r="H60" s="13"/>
    </x:row>
    <x:row r="61" ht="15" hidden="0" customHeight="1">
      <x:c r="A61" s="13" t="n">
        <x:v>57</x:v>
      </x:c>
      <x:c r="B61" s="13" t="str">
        <x:v>b</x:v>
      </x:c>
      <x:c r="C61" s="13" t="str">
        <x:v>holiday calendar configuration by location and department.</x:v>
      </x:c>
      <x:c r="D61" s="14" t="n">
        <x:v>1</x:v>
      </x:c>
      <x:c r="E61" s="14" t="n">
        <x:v>1</x:v>
      </x:c>
      <x:c r="F61" s="15"/>
      <x:c r="G61" s="13"/>
      <x:c r="H61" s="13"/>
    </x:row>
    <x:row r="62" ht="15" hidden="0" customHeight="1">
      <x:c r="A62" s="13" t="n">
        <x:v>58</x:v>
      </x:c>
      <x:c r="B62" s="13" t="str">
        <x:v>c</x:v>
      </x:c>
      <x:c r="C62" s="13" t="str">
        <x:v>• leave request and approval workflows with multi-level authorizations.</x:v>
      </x:c>
      <x:c r="D62" s="14" t="n">
        <x:v>1</x:v>
      </x:c>
      <x:c r="E62" s="14" t="n">
        <x:v>1</x:v>
      </x:c>
      <x:c r="F62" s="15"/>
      <x:c r="G62" s="13"/>
      <x:c r="H62" s="13"/>
    </x:row>
    <x:row r="63" ht="15" hidden="0" customHeight="1">
      <x:c r="A63" s="13" t="n">
        <x:v>59</x:v>
      </x:c>
      <x:c r="B63" s="13" t="str">
        <x:v>d</x:v>
      </x:c>
      <x:c r="C63" s="13" t="str">
        <x:v>Platform automated leave balance tracking and accruals.</x:v>
      </x:c>
      <x:c r="D63" s="14" t="n">
        <x:v>1</x:v>
      </x:c>
      <x:c r="E63" s="14" t="n">
        <x:v>1</x:v>
      </x:c>
      <x:c r="F63" s="15"/>
      <x:c r="G63" s="13"/>
      <x:c r="H63" s="13"/>
    </x:row>
    <x:row r="64" ht="15" hidden="0" customHeight="1">
      <x:c r="A64" s="13" t="n">
        <x:v>60</x:v>
      </x:c>
      <x:c r="B64" s="13" t="str">
        <x:v>e</x:v>
      </x:c>
      <x:c r="C64" s="13" t="str">
        <x:v>Leave encashment and carry-forward policies</x:v>
      </x:c>
      <x:c r="D64" s="14" t="n">
        <x:v>1</x:v>
      </x:c>
      <x:c r="E64" s="14" t="n">
        <x:v>1</x:v>
      </x:c>
      <x:c r="F64" s="15"/>
      <x:c r="G64" s="13"/>
      <x:c r="H64" s="13"/>
    </x:row>
    <x:row r="65" ht="15" hidden="0" customHeight="1">
      <x:c r="A65" s="13" t="n">
        <x:v>61</x:v>
      </x:c>
      <x:c r="B65" s="13" t="n">
        <x:v>4</x:v>
      </x:c>
      <x:c r="C65" s="13" t="str">
        <x:v>Overtime &amp; Comp-Offs Management</x:v>
      </x:c>
      <x:c r="D65" s="14"/>
      <x:c r="E65" s="14"/>
      <x:c r="F65" s="15"/>
      <x:c r="G65" s="13" t="str">
        <x:v>Comm-off is working but OT module is not working</x:v>
      </x:c>
      <x:c r="H65" s="13"/>
    </x:row>
    <x:row r="66" ht="15" hidden="0" customHeight="1">
      <x:c r="A66" s="13" t="n">
        <x:v>62</x:v>
      </x:c>
      <x:c r="B66" s="13" t="str">
        <x:v>a</x:v>
      </x:c>
      <x:c r="C66" s="13" t="str">
        <x:v>• overtime tracking based on pre-approved policies.</x:v>
      </x:c>
      <x:c r="D66" s="14" t="n">
        <x:v>0.5</x:v>
      </x:c>
      <x:c r="E66" s="14" t="n">
        <x:v>0.5</x:v>
      </x:c>
      <x:c r="F66" s="15"/>
      <x:c r="G66" s="13" t="str">
        <x:v>OT module implemented , automated application is not possible , manual done by Pro</x:v>
      </x:c>
      <x:c r="H66" s="13"/>
    </x:row>
    <x:row r="67" ht="15" hidden="0" customHeight="1">
      <x:c r="A67" s="13" t="n">
        <x:v>63</x:v>
      </x:c>
      <x:c r="B67" s="13" t="str">
        <x:v>b</x:v>
      </x:c>
      <x:c r="C67" s="13" t="str">
        <x:v>Platform auto-calculation of compensatory offs and extra working hours.</x:v>
      </x:c>
      <x:c r="D67" s="14" t="n">
        <x:v>1</x:v>
      </x:c>
      <x:c r="E67" s="14" t="n">
        <x:v>1</x:v>
      </x:c>
      <x:c r="F67" s="15"/>
      <x:c r="G67" s="13"/>
      <x:c r="H67" s="13"/>
    </x:row>
    <x:row r="68" ht="15" hidden="0" customHeight="1">
      <x:c r="A68" s="13" t="n">
        <x:v>64</x:v>
      </x:c>
      <x:c r="B68" s="13" t="str">
        <x:v>c</x:v>
      </x:c>
      <x:c r="C68" s="13" t="str">
        <x:v>approval workflows for overtime requests.</x:v>
      </x:c>
      <x:c r="D68" s="14" t="n">
        <x:v>1</x:v>
      </x:c>
      <x:c r="E68" s="14" t="n">
        <x:v>1</x:v>
      </x:c>
      <x:c r="F68" s="15"/>
      <x:c r="G68" s="13"/>
      <x:c r="H68" s="13"/>
    </x:row>
    <x:row r="69" ht="15" hidden="0" customHeight="1">
      <x:c r="A69" s="13" t="n">
        <x:v>65</x:v>
      </x:c>
      <x:c r="B69" s="13" t="str">
        <x:v>d</x:v>
      </x:c>
      <x:c r="C69" s="13" t="str">
        <x:v>integration with payroll for overtime</x:v>
      </x:c>
      <x:c r="D69" s="14" t="n">
        <x:v>1</x:v>
      </x:c>
      <x:c r="E69" s="14" t="n">
        <x:v>1</x:v>
      </x:c>
      <x:c r="F69" s="15"/>
      <x:c r="G69" s="13"/>
      <x:c r="H69" s="13"/>
    </x:row>
    <x:row r="70" ht="15" hidden="0" customHeight="1">
      <x:c r="A70" s="13" t="n">
        <x:v>66</x:v>
      </x:c>
      <x:c r="B70" s="13" t="n">
        <x:v>5</x:v>
      </x:c>
      <x:c r="C70" s="13" t="str">
        <x:v>Attendance Policy &amp; Compliance</x:v>
      </x:c>
      <x:c r="D70" s="14"/>
      <x:c r="E70" s="14"/>
      <x:c r="F70" s="15"/>
      <x:c r="G70" s="13"/>
      <x:c r="H70" s="13"/>
    </x:row>
    <x:row r="71" ht="15" hidden="0" customHeight="1">
      <x:c r="A71" s="13" t="n">
        <x:v>67</x:v>
      </x:c>
      <x:c r="B71" s="13" t="str">
        <x:v>a</x:v>
      </x:c>
      <x:c r="C71" s="13" t="str">
        <x:v>enforcement of attendance policies (minimum working hours, grace period, break time tracking).</x:v>
      </x:c>
      <x:c r="D71" s="14" t="n">
        <x:v>1</x:v>
      </x:c>
      <x:c r="E71" s="14" t="n">
        <x:v>1</x:v>
      </x:c>
      <x:c r="F71" s="15"/>
      <x:c r="G71" s="13"/>
      <x:c r="H71" s="13"/>
    </x:row>
    <x:row r="72" ht="15" hidden="0" customHeight="1">
      <x:c r="A72" s="13" t="n">
        <x:v>68</x:v>
      </x:c>
      <x:c r="B72" s="13" t="str">
        <x:v>b</x:v>
      </x:c>
      <x:c r="C72" s="13" t="str">
        <x:v>Platform automated deductions and penalties for attendance violations.</x:v>
      </x:c>
      <x:c r="D72" s="14" t="n">
        <x:v>1</x:v>
      </x:c>
      <x:c r="E72" s="14" t="n">
        <x:v>1</x:v>
      </x:c>
      <x:c r="F72" s="15"/>
      <x:c r="G72" s="13"/>
      <x:c r="H72" s="13"/>
    </x:row>
    <x:row r="73" ht="15" hidden="0" customHeight="1">
      <x:c r="A73" s="13" t="n">
        <x:v>69</x:v>
      </x:c>
      <x:c r="B73" s="13" t="str">
        <x:v>c</x:v>
      </x:c>
      <x:c r="C73" s="13" t="str">
        <x:v>Preparation of reports and dashboards for HR and management monitoring.</x:v>
      </x:c>
      <x:c r="D73" s="14" t="n">
        <x:v>0</x:v>
      </x:c>
      <x:c r="E73" s="14"/>
      <x:c r="F73" s="15"/>
      <x:c r="G73" s="13" t="str">
        <x:v>only leave dash board NA</x:v>
      </x:c>
      <x:c r="H73" s="13"/>
    </x:row>
    <x:row r="74" ht="15" hidden="0" customHeight="1">
      <x:c r="A74" s="13" t="n">
        <x:v>70</x:v>
      </x:c>
      <x:c r="B74" s="13"/>
      <x:c r="C74" s="13" t="str">
        <x:v>5. Monthly payroll processing &amp; Statutory Compliances</x:v>
      </x:c>
      <x:c r="D74" s="14"/>
      <x:c r="E74" s="14"/>
      <x:c r="F74" s="15"/>
      <x:c r="G74" s="13"/>
      <x:c r="H74" s="13"/>
    </x:row>
    <x:row r="75" ht="15" hidden="0" customHeight="1">
      <x:c r="A75" s="13" t="n">
        <x:v>71</x:v>
      </x:c>
      <x:c r="B75" s="13"/>
      <x:c r="C75" s="13" t="str">
        <x:v>5.1 Payroll Processing</x:v>
      </x:c>
      <x:c r="D75" s="14"/>
      <x:c r="E75" s="14"/>
      <x:c r="F75" s="15"/>
      <x:c r="G75" s="13"/>
      <x:c r="H75" s="13"/>
    </x:row>
    <x:row r="76" ht="24" hidden="0" customHeight="1">
      <x:c r="A76" s="13" t="n">
        <x:v>72</x:v>
      </x:c>
      <x:c r="B76" s="13" t="n">
        <x:v>1</x:v>
      </x:c>
      <x:c r="C76" s="13" t="str">
        <x:v>Payroll Inputs Collection &amp; Validation: Protiviti manages payroll inputs (new joiners, salary revisions, variable pay, deductions, loss of pay, etc.) in a predefined format.</x:v>
      </x:c>
      <x:c r="D76" s="14" t="n">
        <x:v>1</x:v>
      </x:c>
      <x:c r="E76" s="14" t="n">
        <x:v>1</x:v>
      </x:c>
      <x:c r="F76" s="15"/>
      <x:c r="G76" s="13"/>
      <x:c r="H76" s="13"/>
    </x:row>
    <x:row r="77" ht="15" hidden="0" customHeight="1">
      <x:c r="A77" s="13" t="n">
        <x:v>73</x:v>
      </x:c>
      <x:c r="B77" s="13" t="n">
        <x:v>2</x:v>
      </x:c>
      <x:c r="C77" s="13" t="str">
        <x:v>Investment &amp; flexi declarations: Tax computation based on employee declarations via ESS portal</x:v>
      </x:c>
      <x:c r="D77" s="14" t="n">
        <x:v>1</x:v>
      </x:c>
      <x:c r="E77" s="14" t="n">
        <x:v>1</x:v>
      </x:c>
      <x:c r="F77" s="15"/>
      <x:c r="G77" s="13"/>
      <x:c r="H77" s="13"/>
    </x:row>
    <x:row r="78" ht="48" hidden="0" customHeight="1">
      <x:c r="A78" s="13" t="n">
        <x:v>74</x:v>
      </x:c>
      <x:c r="B78" s="13" t="n">
        <x:v>3</x:v>
      </x:c>
      <x:c r="C78" s="13" t="str">
        <x:v>• Payroll processing &amp; review:
 o Salary calculations with deductions and allowances.
 o Draft payroll reports for approval.
 o Final payroll processing after client confirmation</x:v>
      </x:c>
      <x:c r="D78" s="14" t="n">
        <x:v>1</x:v>
      </x:c>
      <x:c r="E78" s="14" t="n">
        <x:v>1</x:v>
      </x:c>
      <x:c r="F78" s="15"/>
      <x:c r="G78" s="13"/>
      <x:c r="H78" s="13"/>
    </x:row>
    <x:row r="79" ht="72" hidden="0" customHeight="1">
      <x:c r="A79" s="13" t="n">
        <x:v>75</x:v>
      </x:c>
      <x:c r="B79" s="13" t="n">
        <x:v>4</x:v>
      </x:c>
      <x:c r="C79" s="13" t="str">
        <x:v>Performing Payroll deliverables:
 o Final Pay Register.
 o Bank Transfer File.
 o Journal Voucher Report.
 o Payslip &amp; Tax computation slip via ESS.
 o Reimbursement &amp; variance reports.</x:v>
      </x:c>
      <x:c r="D79" s="14" t="n">
        <x:v>1</x:v>
      </x:c>
      <x:c r="E79" s="14" t="n">
        <x:v>1</x:v>
      </x:c>
      <x:c r="F79" s="15"/>
      <x:c r="G79" s="13" t="str">
        <x:v>Working day logic corrected as per RML which will reflected from Aug payroll</x:v>
      </x:c>
      <x:c r="H79" s="13"/>
    </x:row>
    <x:row r="80" ht="36" hidden="0" customHeight="1">
      <x:c r="A80" s="13" t="n">
        <x:v>76</x:v>
      </x:c>
      <x:c r="B80" s="13" t="n">
        <x:v>5</x:v>
      </x:c>
      <x:c r="C80" s="13" t="str">
        <x:v>Preparation of standard &amp; customized Reports:
 o Standard: TDS report, PF report, PT report, ESIC report, LWF report, Variance report, CTC report.
 o Customized: Cost Centre, Location, Department-wise reports.</x:v>
      </x:c>
      <x:c r="D80" s="14" t="n">
        <x:v>1</x:v>
      </x:c>
      <x:c r="E80" s="14" t="n">
        <x:v>1</x:v>
      </x:c>
      <x:c r="F80" s="15"/>
      <x:c r="G80" s="13"/>
      <x:c r="H80" s="13"/>
    </x:row>
    <x:row r="81" ht="24" hidden="0" customHeight="1">
      <x:c r="A81" s="13" t="n">
        <x:v>77</x:v>
      </x:c>
      <x:c r="B81" s="13" t="n">
        <x:v>6</x:v>
      </x:c>
      <x:c r="C81" s="13" t="str">
        <x:v>• Calculation of OT(Over Time) charges and cross verifying with the attendance system and validate the OT charge</x:v>
      </x:c>
      <x:c r="D81" s="14" t="n">
        <x:v>1</x:v>
      </x:c>
      <x:c r="E81" s="14" t="n">
        <x:v>1</x:v>
      </x:c>
      <x:c r="F81" s="15"/>
      <x:c r="G81" s="13"/>
      <x:c r="H81" s="13"/>
    </x:row>
    <x:row r="82" ht="15" hidden="0" customHeight="1">
      <x:c r="A82" s="13" t="n">
        <x:v>78</x:v>
      </x:c>
      <x:c r="B82" s="13" t="n">
        <x:v>7</x:v>
      </x:c>
      <x:c r="C82" s="13" t="str">
        <x:v>• Protiviti should Handle the payroll Queries</x:v>
      </x:c>
      <x:c r="D82" s="14" t="n">
        <x:v>1</x:v>
      </x:c>
      <x:c r="E82" s="14" t="n">
        <x:v>1</x:v>
      </x:c>
      <x:c r="F82" s="15"/>
      <x:c r="G82" s="13"/>
      <x:c r="H82" s="13"/>
    </x:row>
    <x:row r="83" ht="15" hidden="0" customHeight="1">
      <x:c r="A83" s="13" t="n">
        <x:v>79</x:v>
      </x:c>
      <x:c r="B83" s="13" t="n">
        <x:v>8</x:v>
      </x:c>
      <x:c r="C83" s="13" t="str">
        <x:v>Protiviti should Validate attendance by verifying data or biometric records</x:v>
      </x:c>
      <x:c r="D83" s="14" t="n">
        <x:v>1</x:v>
      </x:c>
      <x:c r="E83" s="14" t="n">
        <x:v>1</x:v>
      </x:c>
      <x:c r="F83" s="15"/>
      <x:c r="G83" s="13"/>
      <x:c r="H83" s="13"/>
    </x:row>
    <x:row r="84" ht="15" hidden="0" customHeight="1">
      <x:c r="A84" s="13" t="n">
        <x:v>80</x:v>
      </x:c>
      <x:c r="B84" s="13"/>
      <x:c r="C84" s="13" t="str">
        <x:v>5.2 Verification of Inputs</x:v>
      </x:c>
      <x:c r="D84" s="14"/>
      <x:c r="E84" s="14"/>
      <x:c r="F84" s="15"/>
      <x:c r="G84" s="13"/>
      <x:c r="H84" s="13"/>
    </x:row>
    <x:row r="85" ht="15" hidden="0" customHeight="1">
      <x:c r="A85" s="13" t="n">
        <x:v>81</x:v>
      </x:c>
      <x:c r="B85" s="13" t="n">
        <x:v>9</x:v>
      </x:c>
      <x:c r="C85" s="13" t="str">
        <x:v>• The Protiviti should handle the end-to-end payroll process, from collecting inputs to preparing the final register</x:v>
      </x:c>
      <x:c r="D85" s="14" t="n">
        <x:v>1</x:v>
      </x:c>
      <x:c r="E85" s="14" t="n">
        <x:v>1</x:v>
      </x:c>
      <x:c r="F85" s="15"/>
      <x:c r="G85" s="13"/>
      <x:c r="H85" s="13"/>
    </x:row>
    <x:row r="86" ht="15" hidden="0" customHeight="1">
      <x:c r="A86" s="13" t="n">
        <x:v>82</x:v>
      </x:c>
      <x:c r="B86" s="13" t="n">
        <x:v>1</x:v>
      </x:c>
      <x:c r="C86" s="13" t="str">
        <x:v>Effective date of salary revision.</x:v>
      </x:c>
      <x:c r="D86" s="14" t="n">
        <x:v>1</x:v>
      </x:c>
      <x:c r="E86" s="14" t="n">
        <x:v>1</x:v>
      </x:c>
      <x:c r="F86" s="15"/>
      <x:c r="G86" s="13"/>
      <x:c r="H86" s="13"/>
    </x:row>
    <x:row r="87" ht="15" hidden="0" customHeight="1">
      <x:c r="A87" s="13" t="n">
        <x:v>83</x:v>
      </x:c>
      <x:c r="B87" s="13" t="n">
        <x:v>2</x:v>
      </x:c>
      <x:c r="C87" s="13" t="str">
        <x:v>Duplication of Employee Code / Number / ID.</x:v>
      </x:c>
      <x:c r="D87" s="14" t="n">
        <x:v>1</x:v>
      </x:c>
      <x:c r="E87" s="14" t="n">
        <x:v>1</x:v>
      </x:c>
      <x:c r="F87" s="15"/>
      <x:c r="G87" s="13"/>
      <x:c r="H87" s="13"/>
    </x:row>
    <x:row r="88" ht="15" hidden="0" customHeight="1">
      <x:c r="A88" s="13" t="n">
        <x:v>84</x:v>
      </x:c>
      <x:c r="B88" s="13" t="n">
        <x:v>3</x:v>
      </x:c>
      <x:c r="C88" s="13" t="str">
        <x:v>Whether any employees are minor based on the date of birth.</x:v>
      </x:c>
      <x:c r="D88" s="14" t="n">
        <x:v>1</x:v>
      </x:c>
      <x:c r="E88" s="14" t="n">
        <x:v>1</x:v>
      </x:c>
      <x:c r="F88" s="15"/>
      <x:c r="G88" s="13"/>
      <x:c r="H88" s="13"/>
    </x:row>
    <x:row r="89" ht="15" hidden="0" customHeight="1">
      <x:c r="A89" s="13" t="n">
        <x:v>85</x:v>
      </x:c>
      <x:c r="B89" s="13" t="n">
        <x:v>4</x:v>
      </x:c>
      <x:c r="C89" s="13" t="str">
        <x:v>Length of bank account.</x:v>
      </x:c>
      <x:c r="D89" s="14" t="n">
        <x:v>1</x:v>
      </x:c>
      <x:c r="E89" s="14" t="n">
        <x:v>1</x:v>
      </x:c>
      <x:c r="F89" s="15"/>
      <x:c r="G89" s="13"/>
      <x:c r="H89" s="13"/>
    </x:row>
    <x:row r="90" ht="15" hidden="0" customHeight="1">
      <x:c r="A90" s="13" t="n">
        <x:v>86</x:v>
      </x:c>
      <x:c r="B90" s="13" t="n">
        <x:v>5</x:v>
      </x:c>
      <x:c r="C90" s="13" t="str">
        <x:v>IFSC code.</x:v>
      </x:c>
      <x:c r="D90" s="14" t="n">
        <x:v>1</x:v>
      </x:c>
      <x:c r="E90" s="14" t="n">
        <x:v>1</x:v>
      </x:c>
      <x:c r="F90" s="15"/>
      <x:c r="G90" s="13"/>
      <x:c r="H90" s="13"/>
    </x:row>
    <x:row r="91" ht="15" hidden="0" customHeight="1">
      <x:c r="A91" s="13" t="n">
        <x:v>87</x:v>
      </x:c>
      <x:c r="B91" s="13" t="n">
        <x:v>6</x:v>
      </x:c>
      <x:c r="C91" s="13" t="str">
        <x:v>Permanent Account Number (PAN).</x:v>
      </x:c>
      <x:c r="D91" s="14" t="n">
        <x:v>1</x:v>
      </x:c>
      <x:c r="E91" s="14" t="n">
        <x:v>1</x:v>
      </x:c>
      <x:c r="F91" s="15"/>
      <x:c r="G91" s="13"/>
      <x:c r="H91" s="13"/>
    </x:row>
    <x:row r="92" ht="15" hidden="0" customHeight="1">
      <x:c r="A92" s="13" t="n">
        <x:v>88</x:v>
      </x:c>
      <x:c r="B92" s="13" t="n">
        <x:v>7</x:v>
      </x:c>
      <x:c r="C92" s="13" t="str">
        <x:v>Aadhaar number.</x:v>
      </x:c>
      <x:c r="D92" s="14" t="n">
        <x:v>1</x:v>
      </x:c>
      <x:c r="E92" s="14" t="n">
        <x:v>1</x:v>
      </x:c>
      <x:c r="F92" s="15"/>
      <x:c r="G92" s="13"/>
      <x:c r="H92" s="13"/>
    </x:row>
    <x:row r="93" ht="15" hidden="0" customHeight="1">
      <x:c r="A93" s="13" t="n">
        <x:v>89</x:v>
      </x:c>
      <x:c r="B93" s="13" t="n">
        <x:v>8</x:v>
      </x:c>
      <x:c r="C93" s="13" t="str">
        <x:v>Duplication of ESI number.</x:v>
      </x:c>
      <x:c r="D93" s="14" t="n">
        <x:v>1</x:v>
      </x:c>
      <x:c r="E93" s="14" t="n">
        <x:v>1</x:v>
      </x:c>
      <x:c r="F93" s="15"/>
      <x:c r="G93" s="13"/>
      <x:c r="H93" s="13"/>
    </x:row>
    <x:row r="94" ht="15" hidden="0" customHeight="1">
      <x:c r="A94" s="13" t="n">
        <x:v>90</x:v>
      </x:c>
      <x:c r="B94" s="13" t="n">
        <x:v>9</x:v>
      </x:c>
      <x:c r="C94" s="13" t="str">
        <x:v>Check that the CTC matches with break up shared by the Rashmi Metaliks Limited</x:v>
      </x:c>
      <x:c r="D94" s="14" t="n">
        <x:v>1</x:v>
      </x:c>
      <x:c r="E94" s="14" t="n">
        <x:v>1</x:v>
      </x:c>
      <x:c r="F94" s="15"/>
      <x:c r="G94" s="13"/>
      <x:c r="H94" s="13"/>
    </x:row>
    <x:row r="95" ht="15" hidden="0" customHeight="1">
      <x:c r="A95" s="13" t="n">
        <x:v>91</x:v>
      </x:c>
      <x:c r="B95" s="13" t="n">
        <x:v>10</x:v>
      </x:c>
      <x:c r="C95" s="13" t="str">
        <x:v>Identification of duplicate inputs.</x:v>
      </x:c>
      <x:c r="D95" s="14" t="n">
        <x:v>1</x:v>
      </x:c>
      <x:c r="E95" s="14" t="n">
        <x:v>1</x:v>
      </x:c>
      <x:c r="F95" s="15"/>
      <x:c r="G95" s="13"/>
      <x:c r="H95" s="13"/>
    </x:row>
    <x:row r="96" ht="15" hidden="0" customHeight="1">
      <x:c r="A96" s="13" t="n">
        <x:v>92</x:v>
      </x:c>
      <x:c r="B96" s="13" t="n">
        <x:v>11</x:v>
      </x:c>
      <x:c r="C96" s="13" t="str">
        <x:v>Special Character for designation, Department - like" &amp; " , ' ". These are not accepted and would be removed.</x:v>
      </x:c>
      <x:c r="D96" s="14" t="n">
        <x:v>1</x:v>
      </x:c>
      <x:c r="E96" s="14" t="n">
        <x:v>1</x:v>
      </x:c>
      <x:c r="F96" s="15"/>
      <x:c r="G96" s="13"/>
      <x:c r="H96" s="13"/>
    </x:row>
    <x:row r="97" ht="15" hidden="0" customHeight="1">
      <x:c r="A97" s="13" t="n">
        <x:v>93</x:v>
      </x:c>
      <x:c r="B97" s="13" t="n">
        <x:v>12</x:v>
      </x:c>
      <x:c r="C97" s="13" t="str">
        <x:v>Check whether an employee is in Active or Inactive statusfor variable inputs.</x:v>
      </x:c>
      <x:c r="D97" s="14" t="n">
        <x:v>1</x:v>
      </x:c>
      <x:c r="E97" s="14" t="n">
        <x:v>1</x:v>
      </x:c>
      <x:c r="F97" s="15"/>
      <x:c r="G97" s="13"/>
      <x:c r="H97" s="13"/>
    </x:row>
    <x:row r="98" ht="15" hidden="0" customHeight="1">
      <x:c r="A98" s="13" t="n">
        <x:v>94</x:v>
      </x:c>
      <x:c r="B98" s="13"/>
      <x:c r="C98" s="13" t="str">
        <x:v>5.3 Entity Transfer of Employes</x:v>
      </x:c>
      <x:c r="D98" s="14"/>
      <x:c r="E98" s="14"/>
      <x:c r="F98" s="15"/>
      <x:c r="G98" s="13"/>
      <x:c r="H98" s="13"/>
    </x:row>
    <x:row r="99" ht="15" hidden="0" customHeight="1">
      <x:c r="A99" s="13" t="n">
        <x:v>95</x:v>
      </x:c>
      <x:c r="B99" s="13" t="n">
        <x:v>1</x:v>
      </x:c>
      <x:c r="C99" s="13" t="str">
        <x:v>Payroll Input</x:v>
      </x:c>
      <x:c r="D99" s="14" t="n">
        <x:v>1</x:v>
      </x:c>
      <x:c r="E99" s="14" t="n">
        <x:v>1</x:v>
      </x:c>
      <x:c r="F99" s="15"/>
      <x:c r="G99" s="13"/>
      <x:c r="H99" s="13"/>
    </x:row>
    <x:row r="100" ht="15" hidden="0" customHeight="1">
      <x:c r="A100" s="13" t="n">
        <x:v>96</x:v>
      </x:c>
      <x:c r="B100" s="13" t="n">
        <x:v>2</x:v>
      </x:c>
      <x:c r="C100" s="13" t="str">
        <x:v>Draft Pay sheet</x:v>
      </x:c>
      <x:c r="D100" s="14" t="n">
        <x:v>1</x:v>
      </x:c>
      <x:c r="E100" s="14" t="n">
        <x:v>1</x:v>
      </x:c>
      <x:c r="F100" s="15"/>
      <x:c r="G100" s="13"/>
      <x:c r="H100" s="13"/>
    </x:row>
    <x:row r="101" ht="15" hidden="0" customHeight="1">
      <x:c r="A101" s="13" t="n">
        <x:v>97</x:v>
      </x:c>
      <x:c r="B101" s="13" t="n">
        <x:v>3</x:v>
      </x:c>
      <x:c r="C101" s="13" t="str">
        <x:v>Observations if any</x:v>
      </x:c>
      <x:c r="D101" s="14" t="n">
        <x:v>1</x:v>
      </x:c>
      <x:c r="E101" s="14" t="n">
        <x:v>1</x:v>
      </x:c>
      <x:c r="F101" s="15"/>
      <x:c r="G101" s="13"/>
      <x:c r="H101" s="13"/>
    </x:row>
    <x:row r="102" ht="15" hidden="0" customHeight="1">
      <x:c r="A102" s="13" t="n">
        <x:v>98</x:v>
      </x:c>
      <x:c r="B102" s="13" t="n">
        <x:v>4</x:v>
      </x:c>
      <x:c r="C102" s="13" t="str">
        <x:v>Finaly pay Register</x:v>
      </x:c>
      <x:c r="D102" s="14" t="n">
        <x:v>1</x:v>
      </x:c>
      <x:c r="E102" s="14" t="n">
        <x:v>1</x:v>
      </x:c>
      <x:c r="F102" s="15"/>
      <x:c r="G102" s="13"/>
      <x:c r="H102" s="13"/>
    </x:row>
    <x:row r="103" ht="15" hidden="0" customHeight="1">
      <x:c r="A103" s="13" t="n">
        <x:v>99</x:v>
      </x:c>
      <x:c r="B103" s="13" t="n">
        <x:v>5</x:v>
      </x:c>
      <x:c r="C103" s="13" t="str">
        <x:v>Bank Transfer File</x:v>
      </x:c>
      <x:c r="D103" s="14" t="n">
        <x:v>1</x:v>
      </x:c>
      <x:c r="E103" s="14" t="n">
        <x:v>1</x:v>
      </x:c>
      <x:c r="F103" s="15"/>
      <x:c r="G103" s="13"/>
      <x:c r="H103" s="13"/>
    </x:row>
    <x:row r="104" ht="15" hidden="0" customHeight="1">
      <x:c r="A104" s="13" t="n">
        <x:v>100</x:v>
      </x:c>
      <x:c r="B104" s="13" t="n">
        <x:v>6</x:v>
      </x:c>
      <x:c r="C104" s="13" t="str">
        <x:v>Payslip and Tax planner</x:v>
      </x:c>
      <x:c r="D104" s="14" t="n">
        <x:v>1</x:v>
      </x:c>
      <x:c r="E104" s="14" t="n">
        <x:v>1</x:v>
      </x:c>
      <x:c r="F104" s="15"/>
      <x:c r="G104" s="13"/>
      <x:c r="H104" s="13"/>
    </x:row>
    <x:row r="105" ht="15" hidden="0" customHeight="1">
      <x:c r="A105" s="13" t="n">
        <x:v>101</x:v>
      </x:c>
      <x:c r="B105" s="13" t="n">
        <x:v>7</x:v>
      </x:c>
      <x:c r="C105" s="13" t="str">
        <x:v>JV report, Standard report and Customised Reports</x:v>
      </x:c>
      <x:c r="D105" s="14" t="n">
        <x:v>1</x:v>
      </x:c>
      <x:c r="E105" s="14" t="n">
        <x:v>1</x:v>
      </x:c>
      <x:c r="F105" s="15"/>
      <x:c r="G105" s="13"/>
      <x:c r="H105" s="13"/>
    </x:row>
    <x:row r="106" ht="15" hidden="0" customHeight="1">
      <x:c r="A106" s="13" t="n">
        <x:v>102</x:v>
      </x:c>
      <x:c r="B106" s="13" t="n">
        <x:v>1</x:v>
      </x:c>
      <x:c r="C106" s="13" t="str">
        <x:v>5.4 Pro rating Salary / Calculation of Arrears:</x:v>
      </x:c>
      <x:c r="D106" s="14"/>
      <x:c r="E106" s="14"/>
      <x:c r="F106" s="15"/>
      <x:c r="G106" s="13"/>
      <x:c r="H106" s="13"/>
    </x:row>
    <x:row r="107" ht="15" hidden="0" customHeight="1">
      <x:c r="A107" s="13" t="n">
        <x:v>103</x:v>
      </x:c>
      <x:c r="B107" s="13" t="str">
        <x:v>a</x:v>
      </x:c>
      <x:c r="C107" s="13" t="str">
        <x:v>Mid-month new joiner</x:v>
      </x:c>
      <x:c r="D107" s="14" t="n">
        <x:v>1</x:v>
      </x:c>
      <x:c r="E107" s="14" t="n">
        <x:v>1</x:v>
      </x:c>
      <x:c r="F107" s="15"/>
      <x:c r="G107" s="13"/>
      <x:c r="H107" s="13"/>
    </x:row>
    <x:row r="108" ht="15" hidden="0" customHeight="1">
      <x:c r="A108" s="13" t="n">
        <x:v>104</x:v>
      </x:c>
      <x:c r="B108" s="13" t="str">
        <x:v>b</x:v>
      </x:c>
      <x:c r="C108" s="13" t="str">
        <x:v>Mid-month leaver</x:v>
      </x:c>
      <x:c r="D108" s="14" t="n">
        <x:v>1</x:v>
      </x:c>
      <x:c r="E108" s="14" t="n">
        <x:v>1</x:v>
      </x:c>
      <x:c r="F108" s="15"/>
      <x:c r="G108" s="13"/>
      <x:c r="H108" s="13"/>
    </x:row>
    <x:row r="109" ht="15" hidden="0" customHeight="1">
      <x:c r="A109" s="13" t="n">
        <x:v>105</x:v>
      </x:c>
      <x:c r="B109" s="13" t="str">
        <x:v>c</x:v>
      </x:c>
      <x:c r="C109" s="13" t="str">
        <x:v>Loss of Pay calculations</x:v>
      </x:c>
      <x:c r="D109" s="14" t="n">
        <x:v>1</x:v>
      </x:c>
      <x:c r="E109" s="14" t="n">
        <x:v>1</x:v>
      </x:c>
      <x:c r="F109" s="15"/>
      <x:c r="G109" s="13"/>
      <x:c r="H109" s="13"/>
    </x:row>
    <x:row r="110" ht="15" hidden="0" customHeight="1">
      <x:c r="A110" s="13" t="n">
        <x:v>106</x:v>
      </x:c>
      <x:c r="B110" s="13" t="str">
        <x:v>d</x:v>
      </x:c>
      <x:c r="C110" s="13" t="str">
        <x:v>Loss of Pay reversals</x:v>
      </x:c>
      <x:c r="D110" s="14" t="n">
        <x:v>1</x:v>
      </x:c>
      <x:c r="E110" s="14" t="n">
        <x:v>1</x:v>
      </x:c>
      <x:c r="F110" s="15"/>
      <x:c r="G110" s="13"/>
      <x:c r="H110" s="13"/>
    </x:row>
    <x:row r="111" ht="15" hidden="0" customHeight="1">
      <x:c r="A111" s="13" t="n">
        <x:v>107</x:v>
      </x:c>
      <x:c r="B111" s="13" t="str">
        <x:v>e</x:v>
      </x:c>
      <x:c r="C111" s="13" t="str">
        <x:v>Previous month Loss of Pay</x:v>
      </x:c>
      <x:c r="D111" s="14" t="n">
        <x:v>1</x:v>
      </x:c>
      <x:c r="E111" s="14" t="n">
        <x:v>1</x:v>
      </x:c>
      <x:c r="F111" s="15"/>
      <x:c r="G111" s="13"/>
      <x:c r="H111" s="13"/>
    </x:row>
    <x:row r="112" ht="15" hidden="0" customHeight="1">
      <x:c r="A112" s="13" t="n">
        <x:v>108</x:v>
      </x:c>
      <x:c r="B112" s="13" t="n">
        <x:v>2</x:v>
      </x:c>
      <x:c r="C112" s="13" t="str">
        <x:v>5.4 Pro rating Salary / Calculation of Arrears:</x:v>
      </x:c>
      <x:c r="D112" s="14"/>
      <x:c r="E112" s="14"/>
      <x:c r="F112" s="15"/>
      <x:c r="G112" s="13"/>
      <x:c r="H112" s="13"/>
    </x:row>
    <x:row r="113" ht="15" hidden="0" customHeight="1">
      <x:c r="A113" s="13" t="n">
        <x:v>109</x:v>
      </x:c>
      <x:c r="B113" s="13" t="str">
        <x:v>a</x:v>
      </x:c>
      <x:c r="C113" s="13" t="str">
        <x:v>Actual calendar days in the month</x:v>
      </x:c>
      <x:c r="D113" s="14" t="n">
        <x:v>1</x:v>
      </x:c>
      <x:c r="E113" s="14" t="n">
        <x:v>1</x:v>
      </x:c>
      <x:c r="F113" s="15"/>
      <x:c r="G113" s="13"/>
      <x:c r="H113" s="13"/>
    </x:row>
    <x:row r="114" ht="15" hidden="0" customHeight="1">
      <x:c r="A114" s="13" t="n">
        <x:v>110</x:v>
      </x:c>
      <x:c r="B114" s="13" t="str">
        <x:v>b</x:v>
      </x:c>
      <x:c r="C114" s="13" t="str">
        <x:v>Actual calendar days in the month less weekends</x:v>
      </x:c>
      <x:c r="D114" s="14" t="n">
        <x:v>1</x:v>
      </x:c>
      <x:c r="E114" s="14" t="n">
        <x:v>1</x:v>
      </x:c>
      <x:c r="F114" s="15"/>
      <x:c r="G114" s="13"/>
      <x:c r="H114" s="13"/>
    </x:row>
    <x:row r="115" ht="15" hidden="0" customHeight="1">
      <x:c r="A115" s="13" t="n">
        <x:v>111</x:v>
      </x:c>
      <x:c r="B115" s="13" t="str">
        <x:v>c</x:v>
      </x:c>
      <x:c r="C115" s="13" t="str">
        <x:v>Fixed days like 30, 31 (this cannot change between months) without decimals.</x:v>
      </x:c>
      <x:c r="D115" s="14" t="n">
        <x:v>1</x:v>
      </x:c>
      <x:c r="E115" s="14" t="n">
        <x:v>1</x:v>
      </x:c>
      <x:c r="F115" s="15"/>
      <x:c r="G115" s="13"/>
      <x:c r="H115" s="13"/>
    </x:row>
    <x:row r="116" ht="15" hidden="0" customHeight="1">
      <x:c r="A116" s="13" t="n">
        <x:v>112</x:v>
      </x:c>
      <x:c r="B116" s="13" t="n">
        <x:v>3</x:v>
      </x:c>
      <x:c r="C116" s="13" t="str">
        <x:v>Pro rating the salary based on the following factors is not possible:</x:v>
      </x:c>
      <x:c r="D116" s="14"/>
      <x:c r="E116" s="14"/>
      <x:c r="F116" s="15"/>
      <x:c r="G116" s="13"/>
      <x:c r="H116" s="13"/>
    </x:row>
    <x:row r="117" ht="15" hidden="0" customHeight="1">
      <x:c r="A117" s="13" t="n">
        <x:v>113</x:v>
      </x:c>
      <x:c r="B117" s="13" t="str">
        <x:v>a</x:v>
      </x:c>
      <x:c r="C117" s="13" t="str">
        <x:v>Actual calendar days less alternate weekends</x:v>
      </x:c>
      <x:c r="D117" s="14" t="n">
        <x:v>1</x:v>
      </x:c>
      <x:c r="E117" s="14" t="n">
        <x:v>1</x:v>
      </x:c>
      <x:c r="F117" s="15"/>
      <x:c r="G117" s="13"/>
      <x:c r="H117" s="13"/>
    </x:row>
    <x:row r="118" ht="15" hidden="0" customHeight="1">
      <x:c r="A118" s="13" t="n">
        <x:v>114</x:v>
      </x:c>
      <x:c r="B118" s="13" t="str">
        <x:v>b</x:v>
      </x:c>
      <x:c r="C118" s="13" t="str">
        <x:v>Actual calendar days less holidays</x:v>
      </x:c>
      <x:c r="D118" s="14" t="n">
        <x:v>1</x:v>
      </x:c>
      <x:c r="E118" s="14" t="n">
        <x:v>1</x:v>
      </x:c>
      <x:c r="F118" s="15"/>
      <x:c r="G118" s="13"/>
      <x:c r="H118" s="13"/>
    </x:row>
    <x:row r="119" ht="15" hidden="0" customHeight="1">
      <x:c r="A119" s="13" t="n">
        <x:v>115</x:v>
      </x:c>
      <x:c r="B119" s="13" t="str">
        <x:v>c</x:v>
      </x:c>
      <x:c r="C119" s="13" t="str">
        <x:v>Fixed days that vary month on month.</x:v>
      </x:c>
      <x:c r="D119" s="14" t="n">
        <x:v>1</x:v>
      </x:c>
      <x:c r="E119" s="14" t="n">
        <x:v>1</x:v>
      </x:c>
      <x:c r="F119" s="15"/>
      <x:c r="G119" s="13"/>
      <x:c r="H119" s="13"/>
    </x:row>
    <x:row r="120" ht="24" hidden="0" customHeight="1">
      <x:c r="A120" s="13" t="n">
        <x:v>116</x:v>
      </x:c>
      <x:c r="B120" s="13" t="n">
        <x:v>3</x:v>
      </x:c>
      <x:c r="C120" s="13" t="str">
        <x:v>If the period for which salary is pro rated pertains to the period prior to go live with vendor, then the client would need provide arrear break up component wise to enable vendor to include in the current month payroll.</x:v>
      </x:c>
      <x:c r="D120" s="14" t="n">
        <x:v>1</x:v>
      </x:c>
      <x:c r="E120" s="14" t="n">
        <x:v>1</x:v>
      </x:c>
      <x:c r="F120" s="15"/>
      <x:c r="G120" s="13"/>
      <x:c r="H120" s="13"/>
    </x:row>
    <x:row r="121" ht="15" hidden="0" customHeight="1">
      <x:c r="A121" s="13" t="n">
        <x:v>117</x:v>
      </x:c>
      <x:c r="B121" s="13" t="n">
        <x:v>1</x:v>
      </x:c>
      <x:c r="C121" s="13" t="str">
        <x:v>5.5 Loans and Advances</x:v>
      </x:c>
      <x:c r="D121" s="14"/>
      <x:c r="E121" s="14"/>
      <x:c r="F121" s="15"/>
      <x:c r="G121" s="13"/>
      <x:c r="H121" s="13"/>
    </x:row>
    <x:row r="122" ht="15" hidden="0" customHeight="1">
      <x:c r="A122" s="13" t="n">
        <x:v>118</x:v>
      </x:c>
      <x:c r="B122" s="13" t="n">
        <x:v>2</x:v>
      </x:c>
      <x:c r="C122" s="13" t="str">
        <x:v>Vendor would handle the Loan scheduler with the following options:</x:v>
      </x:c>
      <x:c r="D122" s="14" t="n">
        <x:v>0.7</x:v>
      </x:c>
      <x:c r="E122" s="14" t="n">
        <x:v>0.7</x:v>
      </x:c>
      <x:c r="F122" s="15"/>
      <x:c r="G122" s="13" t="str">
        <x:v>Loan / Advances before May 25 need to be integrated from SAP </x:v>
      </x:c>
      <x:c r="H122" s="13"/>
    </x:row>
    <x:row r="123" ht="15" hidden="0" customHeight="1">
      <x:c r="A123" s="13" t="n">
        <x:v>119</x:v>
      </x:c>
      <x:c r="B123" s="13" t="str">
        <x:v>a.</x:v>
      </x:c>
      <x:c r="C123" s="13" t="str">
        <x:v>Diminishing</x:v>
      </x:c>
      <x:c r="D123" s="14" t="n">
        <x:v>1</x:v>
      </x:c>
      <x:c r="E123" s="14" t="n">
        <x:v>1</x:v>
      </x:c>
      <x:c r="F123" s="15" t="d">
        <x:v>2025-08-31T00:00:00.000Z</x:v>
      </x:c>
      <x:c r="G123" s="13" t="str">
        <x:v>Loan eligibility is being calc to Basic </x:v>
      </x:c>
      <x:c r="H123" s="13"/>
    </x:row>
    <x:row r="124" ht="15" hidden="0" customHeight="1">
      <x:c r="A124" s="13" t="n">
        <x:v>120</x:v>
      </x:c>
      <x:c r="B124" s="13" t="str">
        <x:v>b.</x:v>
      </x:c>
      <x:c r="C124" s="13" t="str">
        <x:v>Flat</x:v>
      </x:c>
      <x:c r="D124" s="14" t="n">
        <x:v>1</x:v>
      </x:c>
      <x:c r="E124" s="14" t="n">
        <x:v>1</x:v>
      </x:c>
      <x:c r="F124" s="15"/>
      <x:c r="G124" s="13"/>
      <x:c r="H124" s="13"/>
    </x:row>
    <x:row r="125" ht="15" hidden="0" customHeight="1">
      <x:c r="A125" s="13" t="n">
        <x:v>121</x:v>
      </x:c>
      <x:c r="B125" s="13" t="str">
        <x:v>c.</x:v>
      </x:c>
      <x:c r="C125" s="13" t="str">
        <x:v>Only EMI without Interest</x:v>
      </x:c>
      <x:c r="D125" s="14" t="n">
        <x:v>1</x:v>
      </x:c>
      <x:c r="E125" s="14" t="n">
        <x:v>1</x:v>
      </x:c>
      <x:c r="F125" s="15"/>
      <x:c r="G125" s="13"/>
      <x:c r="H125" s="13"/>
    </x:row>
    <x:row r="126" ht="36" hidden="0" customHeight="1">
      <x:c r="A126" s="13" t="n">
        <x:v>122</x:v>
      </x:c>
      <x:c r="B126" s="13" t="n">
        <x:v>3</x:v>
      </x:c>
      <x:c r="C126" s="13" t="str">
        <x:v>vendor would calculate perquisites as per SBI lending rates. This is applicable only if the client provides the loan input to be recovered using vendor loan scheduler. If the client is giving the loan recovery amount month on month, then the client should provide the perquisite value.</x:v>
      </x:c>
      <x:c r="D126" s="14" t="n">
        <x:v>1</x:v>
      </x:c>
      <x:c r="E126" s="14" t="n">
        <x:v>1</x:v>
      </x:c>
      <x:c r="F126" s="15"/>
      <x:c r="G126" s="13"/>
      <x:c r="H126" s="13"/>
    </x:row>
    <x:row r="127" ht="24" hidden="0" customHeight="1">
      <x:c r="A127" s="13" t="n">
        <x:v>123</x:v>
      </x:c>
      <x:c r="B127" s="13" t="n">
        <x:v>4</x:v>
      </x:c>
      <x:c r="C127" s="13" t="str">
        <x:v>In order to claim tax exemption for Home Loan &amp; Interest employees would need to submit relevant proof to claim under Section 24 during end of year process.</x:v>
      </x:c>
      <x:c r="D127" s="14" t="n">
        <x:v>1</x:v>
      </x:c>
      <x:c r="E127" s="14" t="n">
        <x:v>1</x:v>
      </x:c>
      <x:c r="F127" s="15"/>
      <x:c r="G127" s="13"/>
      <x:c r="H127" s="13"/>
    </x:row>
    <x:row r="128" ht="15" hidden="0" customHeight="1">
      <x:c r="A128" s="13" t="n">
        <x:v>124</x:v>
      </x:c>
      <x:c r="B128" s="13" t="n">
        <x:v>5</x:v>
      </x:c>
      <x:c r="C128" s="13" t="str">
        <x:v>Deductions against Salary advance should be provided as monthly inputs.</x:v>
      </x:c>
      <x:c r="D128" s="14" t="n">
        <x:v>1</x:v>
      </x:c>
      <x:c r="E128" s="14" t="n">
        <x:v>1</x:v>
      </x:c>
      <x:c r="F128" s="15"/>
      <x:c r="G128" s="13"/>
      <x:c r="H128" s="13"/>
    </x:row>
    <x:row r="129" ht="15" hidden="0" customHeight="1">
      <x:c r="A129" s="13" t="n">
        <x:v>125</x:v>
      </x:c>
      <x:c r="B129" s="13" t="n">
        <x:v>6</x:v>
      </x:c>
      <x:c r="C129" s="13" t="str">
        <x:v>Vendor will not liaise with any third parties to deduct or remit loans and advances.</x:v>
      </x:c>
      <x:c r="D129" s="14" t="n">
        <x:v>1</x:v>
      </x:c>
      <x:c r="E129" s="14" t="n">
        <x:v>1</x:v>
      </x:c>
      <x:c r="F129" s="15"/>
      <x:c r="G129" s="13"/>
      <x:c r="H129" s="13"/>
    </x:row>
    <x:row r="130" ht="15" hidden="0" customHeight="1">
      <x:c r="A130" s="13" t="n">
        <x:v>126</x:v>
      </x:c>
      <x:c r="B130" s="13" t="n">
        <x:v>1</x:v>
      </x:c>
      <x:c r="C130" s="13" t="str">
        <x:v>5.6 Process for New Joiners:</x:v>
      </x:c>
      <x:c r="D130" s="14"/>
      <x:c r="E130" s="14"/>
      <x:c r="F130" s="15"/>
      <x:c r="G130" s="13"/>
      <x:c r="H130" s="13"/>
    </x:row>
    <x:row r="131" ht="15" hidden="0" customHeight="1">
      <x:c r="A131" s="13" t="n">
        <x:v>127</x:v>
      </x:c>
      <x:c r="B131" s="13" t="str">
        <x:v>a.</x:v>
      </x:c>
      <x:c r="C131" s="13" t="str">
        <x:v>Throughout the month through Client portal</x:v>
      </x:c>
      <x:c r="D131" s="14" t="n">
        <x:v>1</x:v>
      </x:c>
      <x:c r="E131" s="14" t="n">
        <x:v>1</x:v>
      </x:c>
      <x:c r="F131" s="15"/>
      <x:c r="G131" s="13"/>
      <x:c r="H131" s="13"/>
    </x:row>
    <x:row r="132" ht="15" hidden="0" customHeight="1">
      <x:c r="A132" s="13" t="n">
        <x:v>128</x:v>
      </x:c>
      <x:c r="B132" s="13" t="str">
        <x:v>b.</x:v>
      </x:c>
      <x:c r="C132" s="13" t="str">
        <x:v>As part of monthly input through the excel format</x:v>
      </x:c>
      <x:c r="D132" s="14" t="n">
        <x:v>1</x:v>
      </x:c>
      <x:c r="E132" s="14" t="n">
        <x:v>1</x:v>
      </x:c>
      <x:c r="F132" s="15"/>
      <x:c r="G132" s="13"/>
      <x:c r="H132" s="13"/>
    </x:row>
    <x:row r="133" ht="15" hidden="0" customHeight="1">
      <x:c r="A133" s="13" t="n">
        <x:v>129</x:v>
      </x:c>
      <x:c r="B133" s="13" t="str">
        <x:v>c.</x:v>
      </x:c>
      <x:c r="C133" s="13" t="str">
        <x:v>Through HR connector if integration is in scope</x:v>
      </x:c>
      <x:c r="D133" s="14" t="n">
        <x:v>1</x:v>
      </x:c>
      <x:c r="E133" s="14" t="n">
        <x:v>1</x:v>
      </x:c>
      <x:c r="F133" s="15"/>
      <x:c r="G133" s="13"/>
      <x:c r="H133" s="13"/>
    </x:row>
    <x:row r="134" ht="24" hidden="0" customHeight="1">
      <x:c r="A134" s="13" t="n">
        <x:v>130</x:v>
      </x:c>
      <x:c r="B134" s="13" t="n">
        <x:v>2</x:v>
      </x:c>
      <x:c r="C134" s="13" t="str">
        <x:v>New joiner details for the purpose of ESI IP generation need to be provided by the client once in a week. Flexi would be activated for new joiners after the first month payroll is processed.</x:v>
      </x:c>
      <x:c r="D134" s="14" t="n">
        <x:v>1</x:v>
      </x:c>
      <x:c r="E134" s="14" t="n">
        <x:v>1</x:v>
      </x:c>
      <x:c r="F134" s="15"/>
      <x:c r="G134" s="13"/>
      <x:c r="H134" s="13"/>
    </x:row>
    <x:row r="135" ht="15" hidden="0" customHeight="1">
      <x:c r="A135" s="13" t="n">
        <x:v>131</x:v>
      </x:c>
      <x:c r="B135" s="13" t="n">
        <x:v>3</x:v>
      </x:c>
      <x:c r="C135" s="13" t="str">
        <x:v>ESS portal would be activated for new joiners</x:v>
      </x:c>
      <x:c r="D135" s="14"/>
      <x:c r="E135" s="14"/>
      <x:c r="F135" s="15"/>
      <x:c r="G135" s="13"/>
      <x:c r="H135" s="13"/>
    </x:row>
    <x:row r="136" ht="15" hidden="0" customHeight="1">
      <x:c r="A136" s="13" t="n">
        <x:v>132</x:v>
      </x:c>
      <x:c r="B136" s="13" t="str">
        <x:v>a.</x:v>
      </x:c>
      <x:c r="C136" s="13" t="str">
        <x:v>When client approves new joiner inputs via client portal</x:v>
      </x:c>
      <x:c r="D136" s="14" t="n">
        <x:v>1</x:v>
      </x:c>
      <x:c r="E136" s="14" t="n">
        <x:v>1</x:v>
      </x:c>
      <x:c r="F136" s="15"/>
      <x:c r="G136" s="13"/>
      <x:c r="H136" s="13"/>
    </x:row>
    <x:row r="137" ht="15" hidden="0" customHeight="1">
      <x:c r="A137" s="13" t="n">
        <x:v>133</x:v>
      </x:c>
      <x:c r="B137" s="13" t="str">
        <x:v>b.</x:v>
      </x:c>
      <x:c r="C137" s="13" t="str">
        <x:v>After first month payroll is processed if inputs are provided through excel format</x:v>
      </x:c>
      <x:c r="D137" s="14" t="n">
        <x:v>1</x:v>
      </x:c>
      <x:c r="E137" s="14" t="n">
        <x:v>1</x:v>
      </x:c>
      <x:c r="F137" s="15"/>
      <x:c r="G137" s="13"/>
      <x:c r="H137" s="13"/>
    </x:row>
    <x:row r="138" ht="15" hidden="0" customHeight="1">
      <x:c r="A138" s="13" t="n">
        <x:v>134</x:v>
      </x:c>
      <x:c r="B138" s="13" t="n">
        <x:v>4</x:v>
      </x:c>
      <x:c r="C138" s="13" t="str">
        <x:v>At agreed interval if new joiner information is provided via HR connector</x:v>
      </x:c>
      <x:c r="D138" s="14" t="n">
        <x:v>1</x:v>
      </x:c>
      <x:c r="E138" s="14" t="n">
        <x:v>1</x:v>
      </x:c>
      <x:c r="F138" s="15"/>
      <x:c r="G138" s="13"/>
      <x:c r="H138" s="13"/>
    </x:row>
    <x:row r="139" ht="15" hidden="0" customHeight="1">
      <x:c r="A139" s="13" t="n">
        <x:v>135</x:v>
      </x:c>
      <x:c r="B139" s="13"/>
      <x:c r="C139" s="13" t="str">
        <x:v>5.7– Process for Salary hold and release</x:v>
      </x:c>
      <x:c r="D139" s="14"/>
      <x:c r="E139" s="14"/>
      <x:c r="F139" s="15"/>
      <x:c r="G139" s="13"/>
      <x:c r="H139" s="13"/>
    </x:row>
    <x:row r="140" ht="48" hidden="0" customHeight="1">
      <x:c r="A140" s="13" t="n">
        <x:v>136</x:v>
      </x:c>
      <x:c r="B140" s="13" t="n">
        <x:v>1</x:v>
      </x:c>
      <x:c r="C140" s="13" t="str">
        <x:v>Scenario 1 (Payment hold) - To hold payment of any specific salary(s) vendor will process salary as instructed by the Rashmi Metaliks Limited. The salary transfer details in bank file will be removed. All statutory payments (PF, PT, ESI, LWF) would be remitted normally. In order to release the salary, Protiviti implant should add the net pay value of the employee as part of respective month's input</x:v>
      </x:c>
      <x:c r="D140" s="14" t="n">
        <x:v>1</x:v>
      </x:c>
      <x:c r="E140" s="14" t="n">
        <x:v>1</x:v>
      </x:c>
      <x:c r="F140" s="15"/>
      <x:c r="G140" s="13"/>
      <x:c r="H140" s="13"/>
    </x:row>
    <x:row r="141" ht="48" hidden="0" customHeight="1">
      <x:c r="A141" s="13" t="n">
        <x:v>137</x:v>
      </x:c>
      <x:c r="B141" s="13" t="n">
        <x:v>2</x:v>
      </x:c>
      <x:c r="C141" s="13" t="str">
        <x:v>Scenario 2 (Process hold) - To hold processing of any specific salary(s) for absconding employees, etc., the Protiviti should include full month LOP input for this employee until the defined date. If the defined date is not known, Protiviti to give LOP input month on month. In order to release the salary, Protiviti should provide LOP reversal inputs in the respective month of release.</x:v>
      </x:c>
      <x:c r="D141" s="14" t="n">
        <x:v>1</x:v>
      </x:c>
      <x:c r="E141" s="14" t="n">
        <x:v>1</x:v>
      </x:c>
      <x:c r="F141" s="15"/>
      <x:c r="G141" s="13"/>
      <x:c r="H141" s="13"/>
    </x:row>
    <x:row r="142" ht="15" hidden="0" customHeight="1">
      <x:c r="A142" s="13" t="n">
        <x:v>138</x:v>
      </x:c>
      <x:c r="B142" s="13" t="n">
        <x:v>1</x:v>
      </x:c>
      <x:c r="C142" s="13" t="str">
        <x:v>5.8 Additional General Scope:</x:v>
      </x:c>
      <x:c r="D142" s="14"/>
      <x:c r="E142" s="14"/>
      <x:c r="F142" s="15"/>
      <x:c r="G142" s="13"/>
      <x:c r="H142" s="13"/>
    </x:row>
    <x:row r="143" ht="15" hidden="0" customHeight="1">
      <x:c r="A143" s="13" t="n">
        <x:v>139</x:v>
      </x:c>
      <x:c r="B143" s="13" t="n">
        <x:v>2</x:v>
      </x:c>
      <x:c r="C143" s="13" t="str">
        <x:v>Vendor would provide documentation support for any internal Audits and third-party requirements</x:v>
      </x:c>
      <x:c r="D143" s="14" t="n">
        <x:v>1</x:v>
      </x:c>
      <x:c r="E143" s="14" t="n">
        <x:v>1</x:v>
      </x:c>
      <x:c r="F143" s="15"/>
      <x:c r="G143" s="13"/>
      <x:c r="H143" s="13"/>
    </x:row>
    <x:row r="144" ht="24" hidden="0" customHeight="1">
      <x:c r="A144" s="13" t="n">
        <x:v>140</x:v>
      </x:c>
      <x:c r="B144" s="13" t="n">
        <x:v>3</x:v>
      </x:c>
      <x:c r="C144" s="13" t="str">
        <x:v>Any data / reports requirement to support audit needs to be shared in advance with vendor and turnaround time to deliver will be mutually agreed.</x:v>
      </x:c>
      <x:c r="D144" s="14" t="n">
        <x:v>1</x:v>
      </x:c>
      <x:c r="E144" s="14" t="n">
        <x:v>1</x:v>
      </x:c>
      <x:c r="F144" s="15"/>
      <x:c r="G144" s="13"/>
      <x:c r="H144" s="13"/>
    </x:row>
    <x:row r="145" ht="15" hidden="0" customHeight="1">
      <x:c r="A145" s="13" t="n">
        <x:v>141</x:v>
      </x:c>
      <x:c r="B145" s="13" t="n">
        <x:v>4</x:v>
      </x:c>
      <x:c r="C145" s="13" t="str">
        <x:v>Payroll processing for Interns / Trainees and apply statutory contributions (including tax) as applicable.</x:v>
      </x:c>
      <x:c r="D145" s="14" t="n">
        <x:v>1</x:v>
      </x:c>
      <x:c r="E145" s="14" t="n">
        <x:v>1</x:v>
      </x:c>
      <x:c r="F145" s="15"/>
      <x:c r="G145" s="13"/>
      <x:c r="H145" s="13"/>
    </x:row>
    <x:row r="146" ht="15" hidden="0" customHeight="1">
      <x:c r="A146" s="13" t="n">
        <x:v>142</x:v>
      </x:c>
      <x:c r="B146" s="13" t="n">
        <x:v>5</x:v>
      </x:c>
      <x:c r="C146" s="13" t="str">
        <x:v>Payroll processing for Apprentice as per the Apprenticeship act without any statutory deduction.</x:v>
      </x:c>
      <x:c r="D146" s="14" t="n">
        <x:v>1</x:v>
      </x:c>
      <x:c r="E146" s="14" t="n">
        <x:v>1</x:v>
      </x:c>
      <x:c r="F146" s="15"/>
      <x:c r="G146" s="13"/>
      <x:c r="H146" s="13"/>
    </x:row>
    <x:row r="147" ht="24" hidden="0" customHeight="1">
      <x:c r="A147" s="13" t="n">
        <x:v>143</x:v>
      </x:c>
      <x:c r="B147" s="13" t="n">
        <x:v>6</x:v>
      </x:c>
      <x:c r="C147" s="13" t="str">
        <x:v>Additional ad hoc/On Demand reports can be provided by vendor subject to feasibility. Timeline to build the report and commercials to be mutually agreed.</x:v>
      </x:c>
      <x:c r="D147" s="14" t="n">
        <x:v>1</x:v>
      </x:c>
      <x:c r="E147" s="14" t="n">
        <x:v>1</x:v>
      </x:c>
      <x:c r="F147" s="15"/>
      <x:c r="G147" s="13"/>
      <x:c r="H147" s="13"/>
    </x:row>
    <x:row r="148" ht="15" hidden="0" customHeight="1">
      <x:c r="A148" s="13" t="n">
        <x:v>144</x:v>
      </x:c>
      <x:c r="B148" s="13"/>
      <x:c r="C148" s="13" t="str">
        <x:v>5.9 Payroll Compliance &amp; Statutory Reporting        </x:v>
      </x:c>
      <x:c r="D148" s="14"/>
      <x:c r="E148" s="14"/>
      <x:c r="F148" s="15"/>
      <x:c r="G148" s="13"/>
      <x:c r="H148" s="13"/>
    </x:row>
    <x:row r="149" ht="15" hidden="0" customHeight="1">
      <x:c r="A149" s="13" t="n">
        <x:v>145</x:v>
      </x:c>
      <x:c r="B149" s="13" t="n">
        <x:v>1</x:v>
      </x:c>
      <x:c r="C149" s="13" t="str">
        <x:v>Monthly Income TDS deductions and tax reporting</x:v>
      </x:c>
      <x:c r="D149" s="14" t="n">
        <x:v>1</x:v>
      </x:c>
      <x:c r="E149" s="14" t="n">
        <x:v>1</x:v>
      </x:c>
      <x:c r="F149" s="15"/>
      <x:c r="G149" s="13" t="str">
        <x:v>Handling only white collars</x:v>
      </x:c>
      <x:c r="H149" s="13"/>
    </x:row>
    <x:row r="150" ht="15" hidden="0" customHeight="1">
      <x:c r="A150" s="13" t="n">
        <x:v>146</x:v>
      </x:c>
      <x:c r="B150" s="13" t="n">
        <x:v>2</x:v>
      </x:c>
      <x:c r="C150" s="13" t="str">
        <x:v>Quarterly filings (Form 24Q) &amp; Annual Form 16 generation</x:v>
      </x:c>
      <x:c r="D150" s="14" t="n">
        <x:v>1</x:v>
      </x:c>
      <x:c r="E150" s="14" t="n">
        <x:v>1</x:v>
      </x:c>
      <x:c r="F150" s="15"/>
      <x:c r="G150" s="13"/>
      <x:c r="H150" s="13"/>
    </x:row>
    <x:row r="151" ht="15" hidden="0" customHeight="1">
      <x:c r="A151" s="13" t="n">
        <x:v>147</x:v>
      </x:c>
      <x:c r="B151" s="13" t="n">
        <x:v>3</x:v>
      </x:c>
      <x:c r="C151" s="13" t="str">
        <x:v>Reconciliation of tax deductions vs. paid challans</x:v>
      </x:c>
      <x:c r="D151" s="14" t="n">
        <x:v>1</x:v>
      </x:c>
      <x:c r="E151" s="14" t="n">
        <x:v>1</x:v>
      </x:c>
      <x:c r="F151" s="15"/>
      <x:c r="G151" s="13"/>
      <x:c r="H151" s="13"/>
    </x:row>
    <x:row r="152" ht="15" hidden="0" customHeight="1">
      <x:c r="A152" s="13" t="n">
        <x:v>148</x:v>
      </x:c>
      <x:c r="B152" s="13"/>
      <x:c r="C152" s="13" t="str">
        <x:v>5.10 Provident Fund – In Scope</x:v>
      </x:c>
      <x:c r="D152" s="14"/>
      <x:c r="E152" s="14"/>
      <x:c r="F152" s="15"/>
      <x:c r="G152" s="13"/>
      <x:c r="H152" s="13"/>
    </x:row>
    <x:row r="153" ht="15" hidden="0" customHeight="1">
      <x:c r="A153" s="13" t="n">
        <x:v>149</x:v>
      </x:c>
      <x:c r="B153" s="13" t="n">
        <x:v>1</x:v>
      </x:c>
      <x:c r="C153" s="13" t="str">
        <x:v>UAN generation &amp; KYC updating.</x:v>
      </x:c>
      <x:c r="D153" s="14" t="n">
        <x:v>1</x:v>
      </x:c>
      <x:c r="E153" s="14" t="n">
        <x:v>1</x:v>
      </x:c>
      <x:c r="F153" s="15"/>
      <x:c r="G153" s="13"/>
      <x:c r="H153" s="13"/>
    </x:row>
    <x:row r="154" ht="15" hidden="0" customHeight="1">
      <x:c r="A154" s="13" t="n">
        <x:v>150</x:v>
      </x:c>
      <x:c r="B154" s="13" t="n">
        <x:v>2</x:v>
      </x:c>
      <x:c r="C154" s="13" t="str">
        <x:v>PF challan &amp; return filing</x:v>
      </x:c>
      <x:c r="D154" s="14" t="n">
        <x:v>1</x:v>
      </x:c>
      <x:c r="E154" s="14" t="n">
        <x:v>1</x:v>
      </x:c>
      <x:c r="F154" s="15"/>
      <x:c r="G154" s="13"/>
      <x:c r="H154" s="13"/>
    </x:row>
    <x:row r="155" ht="15" hidden="0" customHeight="1">
      <x:c r="A155" s="13" t="n">
        <x:v>151</x:v>
      </x:c>
      <x:c r="B155" s="13" t="n">
        <x:v>3</x:v>
      </x:c>
      <x:c r="C155" s="13" t="str">
        <x:v>Inspection support &amp; statutory queries resolution.is received in the mobile number registered in the EPFO Portal</x:v>
      </x:c>
      <x:c r="D155" s="14" t="n">
        <x:v>1</x:v>
      </x:c>
      <x:c r="E155" s="14" t="n">
        <x:v>1</x:v>
      </x:c>
      <x:c r="F155" s="15"/>
      <x:c r="G155" s="13"/>
      <x:c r="H155" s="13"/>
    </x:row>
    <x:row r="156" ht="15" hidden="0" customHeight="1">
      <x:c r="A156" s="13" t="n">
        <x:v>152</x:v>
      </x:c>
      <x:c r="B156" s="13" t="n">
        <x:v>4</x:v>
      </x:c>
      <x:c r="C156" s="13" t="str">
        <x:v>EDLI Returns (Form 7IF) </x:v>
      </x:c>
      <x:c r="D156" s="14" t="n">
        <x:v>1</x:v>
      </x:c>
      <x:c r="E156" s="14" t="n">
        <x:v>1</x:v>
      </x:c>
      <x:c r="F156" s="15"/>
      <x:c r="G156" s="13"/>
      <x:c r="H156" s="13"/>
    </x:row>
    <x:row r="157" ht="24" hidden="0" customHeight="1">
      <x:c r="A157" s="13" t="n">
        <x:v>153</x:v>
      </x:c>
      <x:c r="B157" s="13" t="n">
        <x:v>5</x:v>
      </x:c>
      <x:c r="C157" s="13" t="str">
        <x:v>Date of Leaving updating – Date of leaving and the reason for leaving will be updated in the EPFO portal by Protiviti</x:v>
      </x:c>
      <x:c r="D157" s="14" t="n">
        <x:v>1</x:v>
      </x:c>
      <x:c r="E157" s="14" t="n">
        <x:v>1</x:v>
      </x:c>
      <x:c r="F157" s="15"/>
      <x:c r="G157" s="13"/>
      <x:c r="H157" s="13"/>
    </x:row>
    <x:row r="158" ht="15" hidden="0" customHeight="1">
      <x:c r="A158" s="13" t="n">
        <x:v>154</x:v>
      </x:c>
      <x:c r="B158" s="13" t="n">
        <x:v>6</x:v>
      </x:c>
      <x:c r="C158" s="13" t="str">
        <x:v>Form 5A updating (Ownership Details)</x:v>
      </x:c>
      <x:c r="D158" s="14" t="n">
        <x:v>1</x:v>
      </x:c>
      <x:c r="E158" s="14" t="n">
        <x:v>1</x:v>
      </x:c>
      <x:c r="F158" s="15"/>
      <x:c r="G158" s="13"/>
      <x:c r="H158" s="13"/>
    </x:row>
    <x:row r="159" ht="15" hidden="0" customHeight="1">
      <x:c r="A159" s="13" t="n">
        <x:v>155</x:v>
      </x:c>
      <x:c r="B159" s="13" t="n">
        <x:v>7</x:v>
      </x:c>
      <x:c r="C159" s="13" t="str">
        <x:v>Modify Establishment Details</x:v>
      </x:c>
      <x:c r="D159" s="14" t="n">
        <x:v>1</x:v>
      </x:c>
      <x:c r="E159" s="14" t="n">
        <x:v>1</x:v>
      </x:c>
      <x:c r="F159" s="15"/>
      <x:c r="G159" s="13"/>
      <x:c r="H159" s="13"/>
    </x:row>
    <x:row r="160" ht="15" hidden="0" customHeight="1">
      <x:c r="A160" s="13" t="n">
        <x:v>156</x:v>
      </x:c>
      <x:c r="B160" s="13" t="n">
        <x:v>8</x:v>
      </x:c>
      <x:c r="C160" s="13" t="str">
        <x:v>Joint Declaration Submission</x:v>
      </x:c>
      <x:c r="D160" s="14" t="n">
        <x:v>1</x:v>
      </x:c>
      <x:c r="E160" s="14" t="n">
        <x:v>1</x:v>
      </x:c>
      <x:c r="F160" s="15"/>
      <x:c r="G160" s="13"/>
      <x:c r="H160" s="13"/>
    </x:row>
    <x:row r="161" ht="15" hidden="0" customHeight="1">
      <x:c r="A161" s="13" t="n">
        <x:v>157</x:v>
      </x:c>
      <x:c r="B161" s="13" t="n">
        <x:v>9</x:v>
      </x:c>
      <x:c r="C161" s="13" t="str">
        <x:v>Death Claim Submission</x:v>
      </x:c>
      <x:c r="D161" s="14" t="n">
        <x:v>1</x:v>
      </x:c>
      <x:c r="E161" s="14" t="n">
        <x:v>1</x:v>
      </x:c>
      <x:c r="F161" s="15"/>
      <x:c r="G161" s="13"/>
      <x:c r="H161" s="13"/>
    </x:row>
    <x:row r="162" ht="15" hidden="0" customHeight="1">
      <x:c r="A162" s="13" t="n">
        <x:v>158</x:v>
      </x:c>
      <x:c r="B162" s="13" t="n">
        <x:v>10</x:v>
      </x:c>
      <x:c r="C162" s="13" t="str">
        <x:v>Support in case of claim rejection by the EPFO</x:v>
      </x:c>
      <x:c r="D162" s="14" t="n">
        <x:v>1</x:v>
      </x:c>
      <x:c r="E162" s="14" t="n">
        <x:v>1</x:v>
      </x:c>
      <x:c r="F162" s="15"/>
      <x:c r="G162" s="13"/>
      <x:c r="H162" s="13"/>
    </x:row>
    <x:row r="163" ht="15" hidden="0" customHeight="1">
      <x:c r="A163" s="13" t="n">
        <x:v>159</x:v>
      </x:c>
      <x:c r="B163" s="13" t="n">
        <x:v>11</x:v>
      </x:c>
      <x:c r="C163" s="13" t="str">
        <x:v>Inspection Assistance / Response to the Notices</x:v>
      </x:c>
      <x:c r="D163" s="14" t="n">
        <x:v>1</x:v>
      </x:c>
      <x:c r="E163" s="14" t="n">
        <x:v>1</x:v>
      </x:c>
      <x:c r="F163" s="15"/>
      <x:c r="G163" s="13"/>
      <x:c r="H163" s="13"/>
    </x:row>
    <x:row r="164" ht="15" hidden="0" customHeight="1">
      <x:c r="A164" s="13" t="n">
        <x:v>160</x:v>
      </x:c>
      <x:c r="B164" s="13" t="n">
        <x:v>12</x:v>
      </x:c>
      <x:c r="C164" s="13" t="str">
        <x:v>Legislative Notification / Amendments</x:v>
      </x:c>
      <x:c r="D164" s="14" t="n">
        <x:v>1</x:v>
      </x:c>
      <x:c r="E164" s="14" t="n">
        <x:v>1</x:v>
      </x:c>
      <x:c r="F164" s="15"/>
      <x:c r="G164" s="13"/>
      <x:c r="H164" s="13"/>
    </x:row>
    <x:row r="165" ht="15" hidden="0" customHeight="1">
      <x:c r="A165" s="13" t="n">
        <x:v>161</x:v>
      </x:c>
      <x:c r="B165" s="13"/>
      <x:c r="C165" s="13" t="str">
        <x:v>5.10 Employee State Insurance (ESIC) Compliance:</x:v>
      </x:c>
      <x:c r="D165" s="14"/>
      <x:c r="E165" s="14"/>
      <x:c r="F165" s="15"/>
      <x:c r="G165" s="13"/>
      <x:c r="H165" s="13"/>
    </x:row>
    <x:row r="166" ht="15" hidden="0" customHeight="1">
      <x:c r="A166" s="13" t="n">
        <x:v>162</x:v>
      </x:c>
      <x:c r="B166" s="13" t="n">
        <x:v>1</x:v>
      </x:c>
      <x:c r="C166" s="13" t="str">
        <x:v>IP number generation, e-Pehchan card issuance.</x:v>
      </x:c>
      <x:c r="D166" s="14" t="n">
        <x:v>1</x:v>
      </x:c>
      <x:c r="E166" s="14" t="n">
        <x:v>1</x:v>
      </x:c>
      <x:c r="F166" s="15"/>
      <x:c r="G166" s="13"/>
      <x:c r="H166" s="13"/>
    </x:row>
    <x:row r="167" ht="15" hidden="0" customHeight="1">
      <x:c r="A167" s="13" t="n">
        <x:v>163</x:v>
      </x:c>
      <x:c r="B167" s="13" t="n">
        <x:v>2</x:v>
      </x:c>
      <x:c r="C167" s="13" t="str">
        <x:v>ESIC contributions reporting &amp; challan generation</x:v>
      </x:c>
      <x:c r="D167" s="14" t="n">
        <x:v>1</x:v>
      </x:c>
      <x:c r="E167" s="14" t="n">
        <x:v>1</x:v>
      </x:c>
      <x:c r="F167" s="15"/>
      <x:c r="G167" s="13"/>
      <x:c r="H167" s="13"/>
    </x:row>
    <x:row r="168" ht="15" hidden="0" customHeight="1">
      <x:c r="A168" s="13" t="n">
        <x:v>164</x:v>
      </x:c>
      <x:c r="B168" s="13" t="n">
        <x:v>3</x:v>
      </x:c>
      <x:c r="C168" s="13" t="str">
        <x:v>ESIC half-yearly submission &amp; compliance audits</x:v>
      </x:c>
      <x:c r="D168" s="14" t="n">
        <x:v>1</x:v>
      </x:c>
      <x:c r="E168" s="14" t="n">
        <x:v>1</x:v>
      </x:c>
      <x:c r="F168" s="15"/>
      <x:c r="G168" s="13"/>
      <x:c r="H168" s="13"/>
    </x:row>
    <x:row r="169" ht="15" hidden="0" customHeight="1">
      <x:c r="A169" s="13" t="n">
        <x:v>165</x:v>
      </x:c>
      <x:c r="B169" s="13" t="n">
        <x:v>4</x:v>
      </x:c>
      <x:c r="C169" s="13" t="str">
        <x:v>Updating of family members details</x:v>
      </x:c>
      <x:c r="D169" s="14" t="n">
        <x:v>1</x:v>
      </x:c>
      <x:c r="E169" s="14" t="n">
        <x:v>1</x:v>
      </x:c>
      <x:c r="F169" s="15"/>
      <x:c r="G169" s="13"/>
      <x:c r="H169" s="13"/>
    </x:row>
    <x:row r="170" ht="24" hidden="0" customHeight="1">
      <x:c r="A170" s="13" t="n">
        <x:v>166</x:v>
      </x:c>
      <x:c r="B170" s="13" t="n">
        <x:v>5</x:v>
      </x:c>
      <x:c r="C170" s="13" t="str">
        <x:v>Sharing ESIC Remitted Challan – Once the payment is made, Rashmi Metaliks Limited to download the paid challan from the ESIC Portal.</x:v>
      </x:c>
      <x:c r="D170" s="14" t="n">
        <x:v>1</x:v>
      </x:c>
      <x:c r="E170" s="14" t="n">
        <x:v>1</x:v>
      </x:c>
      <x:c r="F170" s="15"/>
      <x:c r="G170" s="13"/>
      <x:c r="H170" s="13"/>
    </x:row>
    <x:row r="171" ht="24" hidden="0" customHeight="1">
      <x:c r="A171" s="13" t="n">
        <x:v>167</x:v>
      </x:c>
      <x:c r="B171" s="13" t="n">
        <x:v>6</x:v>
      </x:c>
      <x:c r="C171" s="13" t="str">
        <x:v>Documents Submission to ESIC Office for Employee Name, DOJ &amp; Gender Correction (Protiviti Presence location)</x:v>
      </x:c>
      <x:c r="D171" s="14" t="n">
        <x:v>1</x:v>
      </x:c>
      <x:c r="E171" s="14" t="n">
        <x:v>1</x:v>
      </x:c>
      <x:c r="F171" s="15"/>
      <x:c r="G171" s="13"/>
      <x:c r="H171" s="13"/>
    </x:row>
    <x:row r="172" ht="15" hidden="0" customHeight="1">
      <x:c r="A172" s="13" t="n">
        <x:v>168</x:v>
      </x:c>
      <x:c r="B172" s="13" t="n">
        <x:v>7</x:v>
      </x:c>
      <x:c r="C172" s="13" t="str">
        <x:v>Updating of Employer Details (Company Name, Address)</x:v>
      </x:c>
      <x:c r="D172" s="14" t="n">
        <x:v>1</x:v>
      </x:c>
      <x:c r="E172" s="14" t="n">
        <x:v>1</x:v>
      </x:c>
      <x:c r="F172" s="15"/>
      <x:c r="G172" s="13"/>
      <x:c r="H172" s="13"/>
    </x:row>
    <x:row r="173" ht="15" hidden="0" customHeight="1">
      <x:c r="A173" s="13" t="n">
        <x:v>169</x:v>
      </x:c>
      <x:c r="B173" s="13"/>
      <x:c r="C173" s="13" t="str">
        <x:v>5.10 Professional Tax (PT) Compliance:</x:v>
      </x:c>
      <x:c r="D173" s="14"/>
      <x:c r="E173" s="14"/>
      <x:c r="F173" s="15"/>
      <x:c r="G173" s="13"/>
      <x:c r="H173" s="13"/>
    </x:row>
    <x:row r="174" ht="15" hidden="0" customHeight="1">
      <x:c r="A174" s="13" t="n">
        <x:v>170</x:v>
      </x:c>
      <x:c r="B174" s="13" t="n">
        <x:v>1</x:v>
      </x:c>
      <x:c r="C174" s="13" t="str">
        <x:v>PT computation, reporting &amp; online remittance support</x:v>
      </x:c>
      <x:c r="D174" s="14" t="n">
        <x:v>1</x:v>
      </x:c>
      <x:c r="E174" s="14" t="n">
        <x:v>1</x:v>
      </x:c>
      <x:c r="F174" s="15"/>
      <x:c r="G174" s="13"/>
      <x:c r="H174" s="13"/>
    </x:row>
    <x:row r="175" ht="15" hidden="0" customHeight="1">
      <x:c r="A175" s="13" t="n">
        <x:v>171</x:v>
      </x:c>
      <x:c r="B175" s="13" t="n">
        <x:v>2</x:v>
      </x:c>
      <x:c r="C175" s="13" t="str">
        <x:v>PT enrollment &amp; renewal processing</x:v>
      </x:c>
      <x:c r="D175" s="14" t="n">
        <x:v>1</x:v>
      </x:c>
      <x:c r="E175" s="14" t="n">
        <x:v>1</x:v>
      </x:c>
      <x:c r="F175" s="15"/>
      <x:c r="G175" s="13"/>
      <x:c r="H175" s="13"/>
    </x:row>
    <x:row r="176" ht="15" hidden="0" customHeight="1">
      <x:c r="A176" s="13" t="n">
        <x:v>172</x:v>
      </x:c>
      <x:c r="B176" s="13" t="n">
        <x:v>3</x:v>
      </x:c>
      <x:c r="C176" s="13" t="str">
        <x:v>PT - Enrolment Certificate - Remittance</x:v>
      </x:c>
      <x:c r="D176" s="14" t="n">
        <x:v>1</x:v>
      </x:c>
      <x:c r="E176" s="14" t="n">
        <x:v>1</x:v>
      </x:c>
      <x:c r="F176" s="15"/>
      <x:c r="G176" s="13"/>
      <x:c r="H176" s="13"/>
    </x:row>
    <x:row r="177" ht="15" hidden="0" customHeight="1">
      <x:c r="A177" s="13" t="n">
        <x:v>173</x:v>
      </x:c>
      <x:c r="B177" s="13" t="n">
        <x:v>4</x:v>
      </x:c>
      <x:c r="C177" s="13" t="str">
        <x:v>PT - Enrolment Certificate - Returns</x:v>
      </x:c>
      <x:c r="D177" s="14" t="n">
        <x:v>1</x:v>
      </x:c>
      <x:c r="E177" s="14" t="n">
        <x:v>1</x:v>
      </x:c>
      <x:c r="F177" s="15"/>
      <x:c r="G177" s="13"/>
      <x:c r="H177" s="13"/>
    </x:row>
    <x:row r="178" ht="15" hidden="0" customHeight="1">
      <x:c r="A178" s="13" t="n">
        <x:v>174</x:v>
      </x:c>
      <x:c r="B178" s="13" t="n">
        <x:v>5</x:v>
      </x:c>
      <x:c r="C178" s="13" t="str">
        <x:v>Company Tax Remittance</x:v>
      </x:c>
      <x:c r="D178" s="14" t="n">
        <x:v>1</x:v>
      </x:c>
      <x:c r="E178" s="14" t="n">
        <x:v>1</x:v>
      </x:c>
      <x:c r="F178" s="15"/>
      <x:c r="G178" s="13"/>
      <x:c r="H178" s="13"/>
    </x:row>
    <x:row r="179" ht="15" hidden="0" customHeight="1">
      <x:c r="A179" s="13" t="n">
        <x:v>175</x:v>
      </x:c>
      <x:c r="B179" s="13" t="n">
        <x:v>6</x:v>
      </x:c>
      <x:c r="C179" s="13" t="str">
        <x:v>Sharing remitted /acknowledged challans</x:v>
      </x:c>
      <x:c r="D179" s="14" t="n">
        <x:v>1</x:v>
      </x:c>
      <x:c r="E179" s="14" t="n">
        <x:v>1</x:v>
      </x:c>
      <x:c r="F179" s="15"/>
      <x:c r="G179" s="13"/>
      <x:c r="H179" s="13"/>
    </x:row>
    <x:row r="180" ht="15" hidden="0" customHeight="1">
      <x:c r="A180" s="13" t="n">
        <x:v>176</x:v>
      </x:c>
      <x:c r="B180" s="13" t="n">
        <x:v>7</x:v>
      </x:c>
      <x:c r="C180" s="13" t="str">
        <x:v>Inspection Assistance / Response to the Notices</x:v>
      </x:c>
      <x:c r="D180" s="14" t="n">
        <x:v>1</x:v>
      </x:c>
      <x:c r="E180" s="14" t="n">
        <x:v>1</x:v>
      </x:c>
      <x:c r="F180" s="15"/>
      <x:c r="G180" s="13"/>
      <x:c r="H180" s="13"/>
    </x:row>
    <x:row r="181" ht="15" hidden="0" customHeight="1">
      <x:c r="A181" s="13" t="n">
        <x:v>177</x:v>
      </x:c>
      <x:c r="B181" s="13"/>
      <x:c r="C181" s="13" t="str">
        <x:v>5.11 Labor Welfare Fund (LWF) Compliance</x:v>
      </x:c>
      <x:c r="D181" s="14"/>
      <x:c r="E181" s="14"/>
      <x:c r="F181" s="15"/>
      <x:c r="G181" s="13"/>
      <x:c r="H181" s="13"/>
    </x:row>
    <x:row r="182" ht="15" hidden="0" customHeight="1">
      <x:c r="A182" s="13" t="n">
        <x:v>178</x:v>
      </x:c>
      <x:c r="B182" s="13" t="n">
        <x:v>1</x:v>
      </x:c>
      <x:c r="C182" s="13" t="str">
        <x:v>LWF data upload, challan generation &amp; payment facilitation</x:v>
      </x:c>
      <x:c r="D182" s="14" t="n">
        <x:v>1</x:v>
      </x:c>
      <x:c r="E182" s="14" t="n">
        <x:v>1</x:v>
      </x:c>
      <x:c r="F182" s="15"/>
      <x:c r="G182" s="13"/>
      <x:c r="H182" s="13"/>
    </x:row>
    <x:row r="183" ht="15" hidden="0" customHeight="1">
      <x:c r="A183" s="13" t="n">
        <x:v>179</x:v>
      </x:c>
      <x:c r="B183" s="13" t="n">
        <x:v>2</x:v>
      </x:c>
      <x:c r="C183" s="13" t="str">
        <x:v>LWF inspection assistance &amp; compliance reporting</x:v>
      </x:c>
      <x:c r="D183" s="14" t="n">
        <x:v>1</x:v>
      </x:c>
      <x:c r="E183" s="14" t="n">
        <x:v>1</x:v>
      </x:c>
      <x:c r="F183" s="15"/>
      <x:c r="G183" s="13"/>
      <x:c r="H183" s="13"/>
    </x:row>
    <x:row r="184" ht="15" hidden="0" customHeight="1">
      <x:c r="A184" s="13" t="n">
        <x:v>180</x:v>
      </x:c>
      <x:c r="B184" s="13"/>
      <x:c r="C184" s="13" t="str">
        <x:v>5.13 Employee Self-Service (ESS) &amp; Support</x:v>
      </x:c>
      <x:c r="D184" s="14"/>
      <x:c r="E184" s="14"/>
      <x:c r="F184" s="15"/>
      <x:c r="G184" s="13"/>
      <x:c r="H184" s="13"/>
    </x:row>
    <x:row r="185" ht="48" hidden="0" customHeight="1">
      <x:c r="A185" s="13" t="n">
        <x:v>181</x:v>
      </x:c>
      <x:c r="B185" s="13" t="n">
        <x:v>1</x:v>
      </x:c>
      <x:c r="C185" s="13" t="str">
        <x:v>providing Employee Access:
  Payslips, tax computation slips, Form 16.
  Investment declarations &amp; reimbursement claims.
  Tax calculator &amp; helpdesk ticketing</x:v>
      </x:c>
      <x:c r="D185" s="14" t="n">
        <x:v>1</x:v>
      </x:c>
      <x:c r="E185" s="14" t="n">
        <x:v>1</x:v>
      </x:c>
      <x:c r="F185" s="15"/>
      <x:c r="G185" s="13"/>
      <x:c r="H185" s="13"/>
    </x:row>
    <x:row r="186" ht="48" hidden="0" customHeight="1">
      <x:c r="A186" s="13" t="n">
        <x:v>182</x:v>
      </x:c>
      <x:c r="B186" s="13" t="n">
        <x:v>2</x:v>
      </x:c>
      <x:c r="C186" s="13" t="str">
        <x:v>providing HR &amp; Payroll SPOC Access:
  Bulk download of payroll &amp; compliance reports.
  Employee onboarding &amp; document management.
 Payroll discrepancy tracking &amp; query resolution</x:v>
      </x:c>
      <x:c r="D186" s="14" t="n">
        <x:v>1</x:v>
      </x:c>
      <x:c r="E186" s="14" t="n">
        <x:v>1</x:v>
      </x:c>
      <x:c r="F186" s="15"/>
      <x:c r="G186" s="13" t="str">
        <x:v>We can make mandatory data for old employee fill by employee before using ESS portal</x:v>
      </x:c>
      <x:c r="H186" s="13"/>
    </x:row>
    <x:row r="187" ht="15" hidden="0" customHeight="1">
      <x:c r="A187" s="13" t="n">
        <x:v>183</x:v>
      </x:c>
      <x:c r="B187" s="13"/>
      <x:c r="C187" s="13" t="str">
        <x:v>5.14 Annual Processing &amp; Compliance</x:v>
      </x:c>
      <x:c r="D187" s="14"/>
      <x:c r="E187" s="14"/>
      <x:c r="F187" s="15"/>
      <x:c r="G187" s="13"/>
      <x:c r="H187" s="13"/>
    </x:row>
    <x:row r="188" ht="15" hidden="0" customHeight="1">
      <x:c r="A188" s="13" t="n">
        <x:v>184</x:v>
      </x:c>
      <x:c r="B188" s="13" t="n">
        <x:v>1</x:v>
      </x:c>
      <x:c r="C188" s="13" t="str">
        <x:v>Annual Bonus &amp; Increment Processing:</x:v>
      </x:c>
      <x:c r="D188" s="14" t="n">
        <x:v>1</x:v>
      </x:c>
      <x:c r="E188" s="14" t="n">
        <x:v>1</x:v>
      </x:c>
      <x:c r="F188" s="15"/>
      <x:c r="G188" s="13"/>
      <x:c r="H188" s="13"/>
    </x:row>
    <x:row r="189" ht="15" hidden="0" customHeight="1">
      <x:c r="A189" s="13" t="n">
        <x:v>185</x:v>
      </x:c>
      <x:c r="B189" s="13" t="n">
        <x:v>2</x:v>
      </x:c>
      <x:c r="C189" s="13" t="str">
        <x:v>Tax Deduction &amp; Year-End Adjustments</x:v>
      </x:c>
      <x:c r="D189" s="14" t="n">
        <x:v>0.5</x:v>
      </x:c>
      <x:c r="E189" s="14" t="n">
        <x:v>0.5</x:v>
      </x:c>
      <x:c r="F189" s="15"/>
      <x:c r="G189" s="13" t="str">
        <x:v>tax deductions being done / yr end adjustment no use case came</x:v>
      </x:c>
      <x:c r="H189" s="13"/>
    </x:row>
    <x:row r="190" ht="15" hidden="0" customHeight="1">
      <x:c r="A190" s="13" t="n">
        <x:v>186</x:v>
      </x:c>
      <x:c r="B190" s="13"/>
      <x:c r="C190" s="13" t="str">
        <x:v>6.Salary related reimbursement processing</x:v>
      </x:c>
      <x:c r="D190" s="14"/>
      <x:c r="E190" s="14"/>
      <x:c r="F190" s="15"/>
      <x:c r="G190" s="13"/>
      <x:c r="H190" s="13"/>
    </x:row>
    <x:row r="191" ht="72" hidden="0" customHeight="1">
      <x:c r="A191" s="13" t="n">
        <x:v>187</x:v>
      </x:c>
      <x:c r="B191" s="13" t="n">
        <x:v>1</x:v>
      </x:c>
      <x:c r="C191" s="13" t="str">
        <x:v>Protiviti team should provide the following:
&gt; Reimbursement bank transfer
&gt; Reimbursement Register
&gt; Submission of reimbursement pay slip to employees via the Platform.
&gt; Calculation of TDS on the unclaimed entitlement at the year end or as per the Client policy
&gt; Assistance for management and resolution of desk queries raised by employees.</x:v>
      </x:c>
      <x:c r="D191" s="14" t="n">
        <x:v>1</x:v>
      </x:c>
      <x:c r="E191" s="14" t="n">
        <x:v>1</x:v>
      </x:c>
      <x:c r="F191" s="15"/>
      <x:c r="G191" s="13"/>
      <x:c r="H191" s="13"/>
    </x:row>
    <x:row r="192" ht="15" hidden="0" customHeight="1">
      <x:c r="A192" s="13" t="n">
        <x:v>188</x:v>
      </x:c>
      <x:c r="B192" s="13"/>
      <x:c r="C192" s="13" t="str">
        <x:v>7.Engagement Module</x:v>
      </x:c>
      <x:c r="D192" s="14"/>
      <x:c r="E192" s="14"/>
      <x:c r="F192" s="15"/>
      <x:c r="G192" s="13"/>
      <x:c r="H192" s="13"/>
    </x:row>
    <x:row r="193" ht="15" hidden="0" customHeight="1">
      <x:c r="A193" s="13" t="n">
        <x:v>189</x:v>
      </x:c>
      <x:c r="B193" s="13"/>
      <x:c r="C193" s="13" t="str">
        <x:v>7.1Employee Engagement Initiatives</x:v>
      </x:c>
      <x:c r="D193" s="14"/>
      <x:c r="E193" s="14"/>
      <x:c r="F193" s="15"/>
      <x:c r="G193" s="13"/>
      <x:c r="H193" s="13"/>
    </x:row>
    <x:row r="194" ht="15" hidden="0" customHeight="1">
      <x:c r="A194" s="13" t="n">
        <x:v>190</x:v>
      </x:c>
      <x:c r="B194" s="13" t="n">
        <x:v>1</x:v>
      </x:c>
      <x:c r="C194" s="13" t="str">
        <x:v>Broadcasting company news and updates in an engaging format.</x:v>
      </x:c>
      <x:c r="D194" s="14" t="n">
        <x:v>1</x:v>
      </x:c>
      <x:c r="E194" s="14" t="n">
        <x:v>1</x:v>
      </x:c>
      <x:c r="F194" s="15"/>
      <x:c r="G194" s="13" t="str">
        <x:v>module ready </x:v>
      </x:c>
      <x:c r="H194" s="13"/>
    </x:row>
    <x:row r="195" ht="15" hidden="0" customHeight="1">
      <x:c r="A195" s="13" t="n">
        <x:v>191</x:v>
      </x:c>
      <x:c r="B195" s="13" t="n">
        <x:v>2</x:v>
      </x:c>
      <x:c r="C195" s="13" t="str">
        <x:v>Enabling HR teams to share information and conduct opinion polls.</x:v>
      </x:c>
      <x:c r="D195" s="14" t="n">
        <x:v>0</x:v>
      </x:c>
      <x:c r="E195" s="14" t="n">
        <x:v>0</x:v>
      </x:c>
      <x:c r="F195" s="15" t="d">
        <x:v>2025-08-12T00:00:00.000Z</x:v>
      </x:c>
      <x:c r="G195" s="13" t="str">
        <x:v>protiviti satisfaction poll to be initiated </x:v>
      </x:c>
      <x:c r="H195" s="13"/>
    </x:row>
    <x:row r="196" ht="15" hidden="0" customHeight="1">
      <x:c r="A196" s="13" t="n">
        <x:v>192</x:v>
      </x:c>
      <x:c r="B196" s="13"/>
      <x:c r="C196" s="13" t="str">
        <x:v>7.2 Employee Feedback &amp; Pulse Surveys</x:v>
      </x:c>
      <x:c r="D196" s="14"/>
      <x:c r="E196" s="14"/>
      <x:c r="F196" s="15"/>
      <x:c r="G196" s="13"/>
      <x:c r="H196" s="13"/>
    </x:row>
    <x:row r="197" ht="15" hidden="0" customHeight="1">
      <x:c r="A197" s="13" t="n">
        <x:v>193</x:v>
      </x:c>
      <x:c r="B197" s="13" t="n">
        <x:v>1</x:v>
      </x:c>
      <x:c r="C197" s="13" t="str">
        <x:v>Conducting structured surveys for feedback collection.</x:v>
      </x:c>
      <x:c r="D197" s="14" t="n">
        <x:v>0</x:v>
      </x:c>
      <x:c r="E197" s="14" t="n">
        <x:v>0</x:v>
      </x:c>
      <x:c r="F197" s="15"/>
      <x:c r="G197" s="13" t="str">
        <x:v>protiviti satisfaction feedback to be initiated </x:v>
      </x:c>
      <x:c r="H197" s="13"/>
    </x:row>
    <x:row r="198" ht="15" hidden="0" customHeight="1">
      <x:c r="A198" s="13" t="n">
        <x:v>194</x:v>
      </x:c>
      <x:c r="B198" s="13" t="n">
        <x:v>2</x:v>
      </x:c>
      <x:c r="C198" s="13" t="str">
        <x:v>HR receives data-driven recommendations for improvements.</x:v>
      </x:c>
      <x:c r="D198" s="14" t="n">
        <x:v>1</x:v>
      </x:c>
      <x:c r="E198" s="14" t="n">
        <x:v>1</x:v>
      </x:c>
      <x:c r="F198" s="15"/>
      <x:c r="G198" s="13"/>
      <x:c r="H198" s="13"/>
    </x:row>
    <x:row r="199" ht="15" hidden="0" customHeight="1">
      <x:c r="A199" s="13" t="n">
        <x:v>195</x:v>
      </x:c>
      <x:c r="B199" s="13"/>
      <x:c r="C199" s="13" t="str">
        <x:v>8. Asset Management</x:v>
      </x:c>
      <x:c r="D199" s="14"/>
      <x:c r="E199" s="14"/>
      <x:c r="F199" s="15"/>
      <x:c r="G199" s="13"/>
      <x:c r="H199" s="13"/>
    </x:row>
    <x:row r="200" ht="15" hidden="0" customHeight="1">
      <x:c r="A200" s="13" t="n">
        <x:v>196</x:v>
      </x:c>
      <x:c r="B200" s="13"/>
      <x:c r="C200" s="13" t="str">
        <x:v>8.1 Asset Allocation &amp; Tracking</x:v>
      </x:c>
      <x:c r="D200" s="14"/>
      <x:c r="E200" s="14"/>
      <x:c r="F200" s="15"/>
      <x:c r="G200" s="13"/>
      <x:c r="H200" s="13"/>
    </x:row>
    <x:row r="201" ht="15" hidden="0" customHeight="1">
      <x:c r="A201" s="13" t="n">
        <x:v>197</x:v>
      </x:c>
      <x:c r="B201" s="13" t="n">
        <x:v>1</x:v>
      </x:c>
      <x:c r="C201" s="13" t="str">
        <x:v>Platform for Asset Assignment</x:v>
      </x:c>
      <x:c r="D201" s="14" t="n">
        <x:v>1</x:v>
      </x:c>
      <x:c r="E201" s="14" t="n">
        <x:v>1</x:v>
      </x:c>
      <x:c r="F201" s="15"/>
      <x:c r="G201" s="13"/>
      <x:c r="H201" s="13"/>
    </x:row>
    <x:row r="202" ht="15" hidden="0" customHeight="1">
      <x:c r="A202" s="13" t="n">
        <x:v>198</x:v>
      </x:c>
      <x:c r="B202" s="13" t="n">
        <x:v>2</x:v>
      </x:c>
      <x:c r="C202" s="13" t="str">
        <x:v>Platform for management of Employee Asset Directory</x:v>
      </x:c>
      <x:c r="D202" s="14" t="n">
        <x:v>1</x:v>
      </x:c>
      <x:c r="E202" s="14" t="n">
        <x:v>1</x:v>
      </x:c>
      <x:c r="F202" s="15"/>
      <x:c r="G202" s="13"/>
      <x:c r="H202" s="13"/>
    </x:row>
    <x:row r="203" ht="15" hidden="0" customHeight="1">
      <x:c r="A203" s="13" t="n">
        <x:v>199</x:v>
      </x:c>
      <x:c r="B203" s="13"/>
      <x:c r="C203" s="13" t="str">
        <x:v>8.2 Asset Maintenance &amp; Compliance</x:v>
      </x:c>
      <x:c r="D203" s="14"/>
      <x:c r="E203" s="14"/>
      <x:c r="F203" s="15"/>
      <x:c r="G203" s="13"/>
      <x:c r="H203" s="13"/>
    </x:row>
    <x:row r="204" ht="15" hidden="0" customHeight="1">
      <x:c r="A204" s="13" t="n">
        <x:v>200</x:v>
      </x:c>
      <x:c r="B204" s="13" t="n">
        <x:v>1</x:v>
      </x:c>
      <x:c r="C204" s="13" t="str">
        <x:v>Platform for Asset Maintenance Scheduling</x:v>
      </x:c>
      <x:c r="D204" s="14" t="n">
        <x:v>0.5</x:v>
      </x:c>
      <x:c r="E204" s="14" t="n">
        <x:v>0.5</x:v>
      </x:c>
      <x:c r="F204" s="15"/>
      <x:c r="G204" s="13" t="str">
        <x:v>actual demo to be done in ESS</x:v>
      </x:c>
      <x:c r="H204" s="13"/>
    </x:row>
    <x:row r="205" ht="15" hidden="0" customHeight="1">
      <x:c r="A205" s="13" t="n">
        <x:v>201</x:v>
      </x:c>
      <x:c r="B205" s="13" t="n">
        <x:v>2</x:v>
      </x:c>
      <x:c r="C205" s="13" t="str">
        <x:v>Platform for Incident &amp; Damage Reporting</x:v>
      </x:c>
      <x:c r="D205" s="14" t="n">
        <x:v>0.5</x:v>
      </x:c>
      <x:c r="E205" s="14" t="n">
        <x:v>0.5</x:v>
      </x:c>
      <x:c r="F205" s="15"/>
      <x:c r="G205" s="13"/>
      <x:c r="H205" s="13"/>
    </x:row>
    <x:row r="206" ht="15" hidden="0" customHeight="1">
      <x:c r="A206" s="13" t="n">
        <x:v>202</x:v>
      </x:c>
      <x:c r="B206" s="13"/>
      <x:c r="C206" s="13" t="str">
        <x:v>8.3 Asset Retrieval &amp; Exit Clearance</x:v>
      </x:c>
      <x:c r="D206" s="14"/>
      <x:c r="E206" s="14"/>
      <x:c r="F206" s="15"/>
      <x:c r="G206" s="13"/>
      <x:c r="H206" s="13"/>
    </x:row>
    <x:row r="207" ht="15" hidden="0" customHeight="1">
      <x:c r="A207" s="13" t="n">
        <x:v>203</x:v>
      </x:c>
      <x:c r="B207" s="13" t="n">
        <x:v>1</x:v>
      </x:c>
      <x:c r="C207" s="13" t="str">
        <x:v>Platform for Asset Return Process</x:v>
      </x:c>
      <x:c r="D207" s="14" t="n">
        <x:v>0.5</x:v>
      </x:c>
      <x:c r="E207" s="14" t="n">
        <x:v>0.5</x:v>
      </x:c>
      <x:c r="F207" s="15"/>
      <x:c r="G207" s="13"/>
      <x:c r="H207" s="13"/>
    </x:row>
    <x:row r="208" ht="15" hidden="0" customHeight="1">
      <x:c r="A208" s="13" t="n">
        <x:v>204</x:v>
      </x:c>
      <x:c r="B208" s="13" t="n">
        <x:v>2</x:v>
      </x:c>
      <x:c r="C208" s="13" t="str">
        <x:v>Platform for Clearance Workflows</x:v>
      </x:c>
      <x:c r="D208" s="14" t="n">
        <x:v>0.5</x:v>
      </x:c>
      <x:c r="E208" s="14" t="n">
        <x:v>0.5</x:v>
      </x:c>
      <x:c r="F208" s="15"/>
      <x:c r="G208" s="13"/>
      <x:c r="H208" s="13"/>
    </x:row>
    <x:row r="209" ht="15" hidden="0" customHeight="1">
      <x:c r="A209" s="13" t="n">
        <x:v>205</x:v>
      </x:c>
      <x:c r="B209" s="13" t="n">
        <x:v>3</x:v>
      </x:c>
      <x:c r="C209" s="13" t="str">
        <x:v>Platform for Lost or Unreturned Assets Management</x:v>
      </x:c>
      <x:c r="D209" s="14" t="n">
        <x:v>0.5</x:v>
      </x:c>
      <x:c r="E209" s="14" t="n">
        <x:v>0.5</x:v>
      </x:c>
      <x:c r="F209" s="15"/>
      <x:c r="G209" s="13"/>
      <x:c r="H209" s="13"/>
    </x:row>
    <x:row r="210" ht="15" hidden="0" customHeight="1">
      <x:c r="A210" s="13" t="n">
        <x:v>206</x:v>
      </x:c>
      <x:c r="B210" s="13"/>
      <x:c r="C210" s="13" t="str">
        <x:v>9. Helpdesk</x:v>
      </x:c>
      <x:c r="D210" s="14"/>
      <x:c r="E210" s="14"/>
      <x:c r="F210" s="15"/>
      <x:c r="G210" s="13"/>
      <x:c r="H210" s="13"/>
    </x:row>
    <x:row r="211" ht="15" hidden="0" customHeight="1">
      <x:c r="A211" s="13" t="n">
        <x:v>207</x:v>
      </x:c>
      <x:c r="B211" s="13"/>
      <x:c r="C211" s="13" t="str">
        <x:v>9.1 Ticketing System &amp; Query Management</x:v>
      </x:c>
      <x:c r="D211" s="14"/>
      <x:c r="E211" s="14"/>
      <x:c r="F211" s="15"/>
      <x:c r="G211" s="13"/>
      <x:c r="H211" s="13"/>
    </x:row>
    <x:row r="212" ht="15" hidden="0" customHeight="1">
      <x:c r="A212" s="13" t="n">
        <x:v>208</x:v>
      </x:c>
      <x:c r="B212" s="13" t="n">
        <x:v>1</x:v>
      </x:c>
      <x:c r="C212" s="13" t="str">
        <x:v>Ticket Categories: Categorization of queries</x:v>
      </x:c>
      <x:c r="D212" s="14" t="n">
        <x:v>1</x:v>
      </x:c>
      <x:c r="E212" s="14" t="n">
        <x:v>1</x:v>
      </x:c>
      <x:c r="F212" s="15"/>
      <x:c r="G212" s="13"/>
      <x:c r="H212" s="13"/>
    </x:row>
    <x:row r="213" ht="15" hidden="0" customHeight="1">
      <x:c r="A213" s="13" t="n">
        <x:v>209</x:v>
      </x:c>
      <x:c r="B213" s="13" t="n">
        <x:v>2</x:v>
      </x:c>
      <x:c r="C213" s="13" t="str">
        <x:v>Platform Auto-Acknowledgment &amp; Assignment: </x:v>
      </x:c>
      <x:c r="D213" s="14" t="n">
        <x:v>1</x:v>
      </x:c>
      <x:c r="E213" s="14" t="n">
        <x:v>1</x:v>
      </x:c>
      <x:c r="F213" s="15"/>
      <x:c r="G213" s="13"/>
      <x:c r="H213" s="13"/>
    </x:row>
    <x:row r="214" ht="15" hidden="0" customHeight="1">
      <x:c r="A214" s="13" t="n">
        <x:v>210</x:v>
      </x:c>
      <x:c r="B214" s="13"/>
      <x:c r="C214" s="13" t="str">
        <x:v>9.2 Escalation &amp; Resolution Workflow</x:v>
      </x:c>
      <x:c r="D214" s="14"/>
      <x:c r="E214" s="14"/>
      <x:c r="F214" s="15"/>
      <x:c r="G214" s="13"/>
      <x:c r="H214" s="13"/>
    </x:row>
    <x:row r="215" ht="15" hidden="0" customHeight="1">
      <x:c r="A215" s="13" t="n">
        <x:v>211</x:v>
      </x:c>
      <x:c r="B215" s="13" t="n">
        <x:v>1</x:v>
      </x:c>
      <x:c r="C215" s="13" t="str">
        <x:v>Escalation Matrix: Automated escalation of unresolved tickets based on pre-set SLAs</x:v>
      </x:c>
      <x:c r="D215" s="14" t="n">
        <x:v>1</x:v>
      </x:c>
      <x:c r="E215" s="14" t="n">
        <x:v>1</x:v>
      </x:c>
      <x:c r="F215" s="15"/>
      <x:c r="G215" s="13" t="str">
        <x:v>this has to be tested </x:v>
      </x:c>
      <x:c r="H215" s="13"/>
    </x:row>
    <x:row r="216" ht="15" hidden="0" customHeight="1">
      <x:c r="A216" s="13" t="n">
        <x:v>212</x:v>
      </x:c>
      <x:c r="B216" s="13"/>
      <x:c r="C216" s="13" t="str">
        <x:v>9.3 Helpdesk Reporting &amp; Analytics</x:v>
      </x:c>
      <x:c r="D216" s="14"/>
      <x:c r="E216" s="14"/>
      <x:c r="F216" s="15"/>
      <x:c r="G216" s="13"/>
      <x:c r="H216" s="13"/>
    </x:row>
    <x:row r="217" ht="15" hidden="0" customHeight="1">
      <x:c r="A217" s="13" t="n">
        <x:v>213</x:v>
      </x:c>
      <x:c r="B217" s="13" t="n">
        <x:v>1</x:v>
      </x:c>
      <x:c r="C217" s="13" t="str">
        <x:v>Real-time tracking of open, pending, and resolved tickets.</x:v>
      </x:c>
      <x:c r="D217" s="14" t="n">
        <x:v>1</x:v>
      </x:c>
      <x:c r="E217" s="14" t="n">
        <x:v>1</x:v>
      </x:c>
      <x:c r="F217" s="15"/>
      <x:c r="G217" s="13"/>
      <x:c r="H217" s="13"/>
    </x:row>
    <x:row r="218" ht="15" hidden="0" customHeight="1">
      <x:c r="A218" s="13" t="n">
        <x:v>214</x:v>
      </x:c>
      <x:c r="B218" s="13" t="n">
        <x:v>2</x:v>
      </x:c>
      <x:c r="C218" s="13" t="str">
        <x:v>Monthly Performance Reports</x:v>
      </x:c>
      <x:c r="D218" s="14" t="n">
        <x:v>1</x:v>
      </x:c>
      <x:c r="E218" s="14" t="n">
        <x:v>1</x:v>
      </x:c>
      <x:c r="F218" s="15"/>
      <x:c r="G218" s="13"/>
      <x:c r="H218" s="13"/>
    </x:row>
    <x:row r="219" ht="15" hidden="0" customHeight="1">
      <x:c r="A219" s="13" t="n">
        <x:v>215</x:v>
      </x:c>
      <x:c r="B219" s="13"/>
      <x:c r="C219" s="13" t="str">
        <x:v>9.4 Compliance &amp; Audit Support</x:v>
      </x:c>
      <x:c r="D219" s="14"/>
      <x:c r="E219" s="14"/>
      <x:c r="F219" s="15"/>
      <x:c r="G219" s="13"/>
      <x:c r="H219" s="13"/>
    </x:row>
    <x:row r="220" ht="15" hidden="0" customHeight="1">
      <x:c r="A220" s="13" t="n">
        <x:v>216</x:v>
      </x:c>
      <x:c r="B220" s="13" t="n">
        <x:v>1</x:v>
      </x:c>
      <x:c r="C220" s="13" t="str">
        <x:v>Helpdesk Query Logs</x:v>
      </x:c>
      <x:c r="D220" s="14" t="n">
        <x:v>1</x:v>
      </x:c>
      <x:c r="E220" s="14" t="n">
        <x:v>1</x:v>
      </x:c>
      <x:c r="F220" s="15"/>
      <x:c r="G220" s="13"/>
      <x:c r="H220" s="13"/>
    </x:row>
    <x:row r="221" ht="15" hidden="0" customHeight="1">
      <x:c r="A221" s="13" t="n">
        <x:v>217</x:v>
      </x:c>
      <x:c r="B221" s="13" t="n">
        <x:v>2</x:v>
      </x:c>
      <x:c r="C221" s="13" t="str">
        <x:v>Regulatory Query Handling</x:v>
      </x:c>
      <x:c r="D221" s="14" t="n">
        <x:v>1</x:v>
      </x:c>
      <x:c r="E221" s="14" t="n">
        <x:v>1</x:v>
      </x:c>
      <x:c r="F221" s="15"/>
      <x:c r="G221" s="13"/>
      <x:c r="H221" s="13"/>
    </x:row>
    <x:row r="222" ht="15" hidden="0" customHeight="1">
      <x:c r="A222" s="13" t="n">
        <x:v>218</x:v>
      </x:c>
      <x:c r="B222" s="13" t="n">
        <x:v>3</x:v>
      </x:c>
      <x:c r="C222" s="13" t="str">
        <x:v>Employee &amp; Case Management</x:v>
      </x:c>
      <x:c r="D222" s="14" t="n">
        <x:v>1</x:v>
      </x:c>
      <x:c r="E222" s="14" t="n">
        <x:v>1</x:v>
      </x:c>
      <x:c r="F222" s="15"/>
      <x:c r="G222" s="13"/>
      <x:c r="H222" s="13"/>
    </x:row>
    <x:row r="223" ht="15" hidden="0" customHeight="1">
      <x:c r="A223" s="13" t="n">
        <x:v>219</x:v>
      </x:c>
      <x:c r="B223" s="13"/>
      <x:c r="C223" s="13" t="str">
        <x:v>10. Process Related to Final Settlement Processing</x:v>
      </x:c>
      <x:c r="D223" s="14"/>
      <x:c r="E223" s="14"/>
      <x:c r="F223" s="15"/>
      <x:c r="G223" s="13"/>
      <x:c r="H223" s="13"/>
    </x:row>
    <x:row r="224" ht="15" hidden="0" customHeight="1">
      <x:c r="A224" s="13" t="n">
        <x:v>220</x:v>
      </x:c>
      <x:c r="B224" s="13"/>
      <x:c r="C224" s="13" t="str">
        <x:v>10.1 Process Related to Final settlement Process:</x:v>
      </x:c>
      <x:c r="D224" s="14"/>
      <x:c r="E224" s="14"/>
      <x:c r="F224" s="15"/>
      <x:c r="G224" s="13"/>
      <x:c r="H224" s="13"/>
    </x:row>
    <x:row r="225" ht="36" hidden="0" customHeight="1">
      <x:c r="A225" s="13" t="n">
        <x:v>221</x:v>
      </x:c>
      <x:c r="B225" s="13" t="n">
        <x:v>1</x:v>
      </x:c>
      <x:c r="C225" s="13" t="str">
        <x:v>Settlement Input in Excel Format as shared by Protiviti viz – Number of days payable, Salary hold release, Leave Encashment days/Notice Pay recovery, Other Payments&amp; Deductions, Gratuity, LTA claimed in previous employment</x:v>
      </x:c>
      <x:c r="D225" s="14" t="n">
        <x:v>0.5</x:v>
      </x:c>
      <x:c r="E225" s="14" t="n">
        <x:v>0.5</x:v>
      </x:c>
      <x:c r="F225" s="15" t="d">
        <x:v>2025-08-31T00:00:00.000Z</x:v>
      </x:c>
      <x:c r="G225" s="13" t="str">
        <x:v>1st FnF will be process in AUg 25 </x:v>
      </x:c>
      <x:c r="H225" s="13"/>
    </x:row>
    <x:row r="226" ht="15" hidden="0" customHeight="1">
      <x:c r="A226" s="13" t="n">
        <x:v>222</x:v>
      </x:c>
      <x:c r="B226" s="13" t="n">
        <x:v>2</x:v>
      </x:c>
      <x:c r="C226" s="13" t="str">
        <x:v>Communication Protocol: SFTP/ Protiviti’s CRM/ Rashmi Metaliks Limited Portal</x:v>
      </x:c>
      <x:c r="D226" s="14" t="n">
        <x:v>1</x:v>
      </x:c>
      <x:c r="E226" s="14" t="n">
        <x:v>1</x:v>
      </x:c>
      <x:c r="F226" s="15"/>
      <x:c r="G226" s="13"/>
      <x:c r="H226" s="13"/>
    </x:row>
    <x:row r="227" ht="24" hidden="0" customHeight="1">
      <x:c r="A227" s="13" t="n">
        <x:v>223</x:v>
      </x:c>
      <x:c r="B227" s="13" t="n">
        <x:v>3</x:v>
      </x:c>
      <x:c r="C227" s="13" t="str">
        <x:v>Rashmi Metaliks Limited Employees to update investment proofs in ESS portal and submit any pending reimbursement claims</x:v>
      </x:c>
      <x:c r="D227" s="14" t="n">
        <x:v>1</x:v>
      </x:c>
      <x:c r="E227" s="14" t="n">
        <x:v>1</x:v>
      </x:c>
      <x:c r="F227" s="15"/>
      <x:c r="G227" s="13"/>
      <x:c r="H227" s="13"/>
    </x:row>
    <x:row r="228" ht="24" hidden="0" customHeight="1">
      <x:c r="A228" s="13" t="n">
        <x:v>224</x:v>
      </x:c>
      <x:c r="B228" s="13" t="n">
        <x:v>4</x:v>
      </x:c>
      <x:c r="C228" s="13" t="str">
        <x:v>Protiviti should process payroll based on clarifications received (post verification of investment proofs and reimbursement claims submitted) and share the Final Settlement workings for confirmation</x:v>
      </x:c>
      <x:c r="D228" s="14" t="n">
        <x:v>0.5</x:v>
      </x:c>
      <x:c r="E228" s="14" t="n">
        <x:v>0.5</x:v>
      </x:c>
      <x:c r="F228" s="15"/>
      <x:c r="G228" s="13" t="str">
        <x:v>1st FnF will be process in AUg 25 </x:v>
      </x:c>
      <x:c r="H228" s="13"/>
    </x:row>
    <x:row r="229" ht="15" hidden="0" customHeight="1">
      <x:c r="A229" s="13" t="n">
        <x:v>225</x:v>
      </x:c>
      <x:c r="B229" s="13" t="n">
        <x:v>5</x:v>
      </x:c>
      <x:c r="C229" s="13" t="str">
        <x:v>On receipt of confirmation, the following deliverables to be shared with the Rashmi Metaliks Limited SPOC</x:v>
      </x:c>
      <x:c r="D229" s="14" t="n">
        <x:v>0.5</x:v>
      </x:c>
      <x:c r="E229" s="14" t="n">
        <x:v>0.5</x:v>
      </x:c>
      <x:c r="F229" s="15"/>
      <x:c r="G229" s="13"/>
      <x:c r="H229" s="13"/>
    </x:row>
    <x:row r="230" ht="15" hidden="0" customHeight="1">
      <x:c r="A230" s="13" t="n">
        <x:v>226</x:v>
      </x:c>
      <x:c r="B230" s="13"/>
      <x:c r="C230" s="13" t="str">
        <x:v>10.2 Full and Final Settlement Process-General</x:v>
      </x:c>
      <x:c r="D230" s="14"/>
      <x:c r="E230" s="14"/>
      <x:c r="F230" s="15"/>
      <x:c r="G230" s="13"/>
      <x:c r="H230" s="13"/>
    </x:row>
    <x:row r="231" ht="15" hidden="0" customHeight="1">
      <x:c r="A231" s="13" t="n">
        <x:v>227</x:v>
      </x:c>
      <x:c r="B231" s="13" t="n">
        <x:v>1</x:v>
      </x:c>
      <x:c r="C231" s="13" t="str">
        <x:v>Protiviti should offers 2 Full and Final cycle.</x:v>
      </x:c>
      <x:c r="D231" s="14" t="n">
        <x:v>0.5</x:v>
      </x:c>
      <x:c r="E231" s="14" t="n">
        <x:v>0.5</x:v>
      </x:c>
      <x:c r="F231" s="15"/>
      <x:c r="G231" s="13" t="str">
        <x:v>1st FnF will be process in AUg 25 </x:v>
      </x:c>
      <x:c r="H231" s="13"/>
    </x:row>
    <x:row r="232" ht="15" hidden="0" customHeight="1">
      <x:c r="A232" s="13" t="n">
        <x:v>228</x:v>
      </x:c>
      <x:c r="B232" s="13" t="n">
        <x:v>2</x:v>
      </x:c>
      <x:c r="C232" s="13" t="str">
        <x:v>The turnaround time to process Full and Final is 3 working days.</x:v>
      </x:c>
      <x:c r="D232" s="14" t="n">
        <x:v>0.5</x:v>
      </x:c>
      <x:c r="E232" s="14" t="n">
        <x:v>0.5</x:v>
      </x:c>
      <x:c r="F232" s="15"/>
      <x:c r="G232" s="13"/>
      <x:c r="H232" s="13"/>
    </x:row>
    <x:row r="233" ht="24" hidden="0" customHeight="1">
      <x:c r="A233" s="13" t="n">
        <x:v>229</x:v>
      </x:c>
      <x:c r="B233" s="13" t="n">
        <x:v>3</x:v>
      </x:c>
      <x:c r="C233" s="13" t="str">
        <x:v>Protiviti would not interact with resigned employees and details
would be shared only to SPOC.</x:v>
      </x:c>
      <x:c r="D233" s="14" t="n">
        <x:v>0.5</x:v>
      </x:c>
      <x:c r="E233" s="14" t="n">
        <x:v>0.5</x:v>
      </x:c>
      <x:c r="F233" s="15"/>
      <x:c r="G233" s="13"/>
      <x:c r="H233" s="13"/>
    </x:row>
    <x:row r="234" ht="26.399999618530273" hidden="0" customHeight="1">
      <x:c r="A234" s="24" t="n">
        <x:v>230</x:v>
      </x:c>
      <x:c r="B234" s="24" t="n">
        <x:v>4</x:v>
      </x:c>
      <x:c r="C234" s="24" t="str">
        <x:v>“Alumni portal” access to exit employees need to be
confirmedly Rashmi Metaliks Limited for RML to download</x:v>
      </x:c>
      <x:c r="D234" s="25" t="n">
        <x:v>0.5</x:v>
      </x:c>
      <x:c r="E234" s="25" t="n">
        <x:v>0.5</x:v>
      </x:c>
      <x:c r="F234" s="26"/>
      <x:c r="G234" s="24"/>
      <x:c r="H234" s="24"/>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9" hidden="0" customWidth="1"/>
    <x:col min="2" max="2" width="31" hidden="0" customWidth="1"/>
    <x:col min="3" max="3" width="56" hidden="0" customWidth="1"/>
    <x:col min="4" max="4" width="70" hidden="0" customWidth="1"/>
    <x:col min="5" max="5" width="70" hidden="0" customWidth="1"/>
    <x:col min="6" max="6" width="81" hidden="0" customWidth="1"/>
    <x:col min="7" max="7" width="55" hidden="0" customWidth="1"/>
  </x:cols>
  <x:sheetData>
    <x:row r="2">
      <x:c r="A2" s="34" t="str">
        <x:v>Code coverage versus execution plans</x:v>
      </x:c>
    </x:row>
    <x:row r="3">
      <x:c r="A3" t="str">
        <x:v>09 Oct 2026 — source/API/UI/schema review. Checkboxes are not proof of full SOW acceptance. File paths are relative to HRMS root.</x:v>
      </x:c>
    </x:row>
    <x:row r="5" ht="34" customHeight="1">
      <x:c r="A5" s="29" t="str">
        <x:v>Requirement / SOW point</x:v>
      </x:c>
      <x:c r="B5" s="29" t="str">
        <x:v>Finding</x:v>
      </x:c>
      <x:c r="C5" s="29" t="str">
        <x:v>Plan position</x:v>
      </x:c>
      <x:c r="D5" s="29" t="str">
        <x:v>Actual code coverage</x:v>
      </x:c>
      <x:c r="E5" s="29" t="str">
        <x:v>Remaining / reconciliation action</x:v>
      </x:c>
      <x:c r="F5" s="29" t="str">
        <x:v>Code evidence</x:v>
      </x:c>
      <x:c r="G5" s="29" t="str">
        <x:v>Plan evidence</x:v>
      </x:c>
    </x:row>
    <x:row r="6" ht="135" customHeight="1">
      <x:c r="A6" s="32" t="str">
        <x:v>P0-T23 / SOW 3</x:v>
      </x:c>
      <x:c r="B6" s="32" t="str">
        <x:v>Stale plan note</x:v>
      </x:c>
      <x:c r="C6" s="32" t="str">
        <x:v>Plan said settings write endpoint would arrive later.</x:v>
      </x:c>
      <x:c r="D6" s="32" t="str">
        <x:v>Audited permission-gated PUT and admin settings UI already exist.</x:v>
      </x:c>
      <x:c r="E6" s="32" t="str">
        <x:v>Code credited; plan note corrected. Broader policy/payroll SOW point stays Partial.</x:v>
      </x:c>
      <x:c r="F6" s="32" t="str">
        <x:v>backend/src/modules/settings/settings.router.ts:42; frontend/src/pages/admin/SettingsPage.tsx:261</x:v>
      </x:c>
      <x:c r="G6" s="32" t="str">
        <x:v>plans/phase-0-foundations.md</x:v>
      </x:c>
    </x:row>
    <x:row r="7" ht="135" customHeight="1">
      <x:c r="A7" s="33" t="str">
        <x:v>RPT-04 / SOW 19</x:v>
      </x:c>
      <x:c r="B7" s="33" t="str">
        <x:v>Unmarked code + incomplete behavior</x:v>
      </x:c>
      <x:c r="C7" s="33" t="str">
        <x:v>BU dashboard was an unchecked line bundled with pending R23/R25/R26.</x:v>
      </x:c>
      <x:c r="D7" s="33" t="str">
        <x:v>Business-unit endpoint, queries and screen exist. Handler does not use permissionAccess to constrain client filters. OT uses day-record detected minutes.</x:v>
      </x:c>
      <x:c r="E7" s="33" t="str">
        <x:v>Plan now partial; enforce caller scope and correct metrics. R23/R25/R26 and acceptance remain pending.</x:v>
      </x:c>
      <x:c r="F7" s="33" t="str">
        <x:v>backend/src/modules/reports/reports.router.ts:742; backend/src/modules/reports/dashboard.service.ts:298; frontend/src/pages/home/BusinessUnitDashboard.tsx:84</x:v>
      </x:c>
      <x:c r="G7" s="33" t="str">
        <x:v>plans/phase-3-lifecycle-assets-executive.md</x:v>
      </x:c>
    </x:row>
    <x:row r="8" ht="135" customHeight="1">
      <x:c r="A8" s="32" t="str">
        <x:v>AST / HD / EN / RPT routes</x:v>
      </x:c>
      <x:c r="B8" s="32" t="str">
        <x:v>Stale route summary</x:v>
      </x:c>
      <x:c r="C8" s="32" t="str">
        <x:v>README described all these backends as future Phase 3 work.</x:v>
      </x:c>
      <x:c r="D8" s="32" t="str">
        <x:v>Assets and helpdesk operational APIs/UI, engagement feed/poll APIs, executive/BU APIs/UI exist.</x:v>
      </x:c>
      <x:c r="E8" s="32" t="str">
        <x:v>README route summary corrected. Feature gaps remain in Checklist; no stage/gate advanced.</x:v>
      </x:c>
      <x:c r="F8" s="32" t="str">
        <x:v>backend/src/api/router.ts; frontend/src/app/router.tsx</x:v>
      </x:c>
      <x:c r="G8" s="32" t="str">
        <x:v>plans/README.md</x:v>
      </x:c>
    </x:row>
    <x:row r="9" ht="135" customHeight="1">
      <x:c r="A9" s="33" t="str">
        <x:v>AST-06 / SOW 200–201,205</x:v>
      </x:c>
      <x:c r="B9" s="33" t="str">
        <x:v>Checked backend; UI/process gaps</x:v>
      </x:c>
      <x:c r="C9" s="33" t="str">
        <x:v>AST checklist marks backend work done.</x:v>
      </x:c>
      <x:c r="D9" s="33" t="str">
        <x:v>Maintenance/incident/loss handlers exist; main assets screen covers register/allocate/return/outstanding.</x:v>
      </x:c>
      <x:c r="E9" s="33" t="str">
        <x:v>Credit backend work; dedicated maintenance/incident/loss UI and recovery/exit process remain.</x:v>
      </x:c>
      <x:c r="F9" s="33" t="str">
        <x:v>backend/src/modules/assets/assets.router.ts:188; frontend/src/pages/workplace/AssetsPage.tsx</x:v>
      </x:c>
      <x:c r="G9" s="33" t="str">
        <x:v>plans/phase-3-lifecycle-assets-executive.md</x:v>
      </x:c>
    </x:row>
    <x:row r="10" ht="135" customHeight="1">
      <x:c r="A10" s="32" t="str">
        <x:v>EN-01/02/03 / SOW 190–193</x:v>
      </x:c>
      <x:c r="B10" s="32" t="str">
        <x:v>API covered; UI pending</x:v>
      </x:c>
      <x:c r="C10" s="32" t="str">
        <x:v>Plan explicitly says service/router/API done and publisher/polls UI remaining.</x:v>
      </x:c>
      <x:c r="D10" s="32" t="str">
        <x:v>Announcement feed and poll/pulse create/respond/results APIs exist. Pulse is a single-question poll variant.</x:v>
      </x:c>
      <x:c r="E10" s="32" t="str">
        <x:v>Partial is correct. No duplicate backend build needed; finish UI and confirm survey scope.</x:v>
      </x:c>
      <x:c r="F10" s="32" t="str">
        <x:v>backend/src/modules/engagement/engagement.router.ts; backend/src/modules/engagement/polls.service.ts; frontend/src/pages/workplace/EngagementPage.tsx</x:v>
      </x:c>
      <x:c r="G10" s="32" t="str">
        <x:v>plans/phase-3-lifecycle-assets-executive.md</x:v>
      </x:c>
    </x:row>
    <x:row r="11" ht="135" customHeight="1">
      <x:c r="A11" s="33" t="str">
        <x:v>HD-01 / SOW 209,211,213–214</x:v>
      </x:c>
      <x:c r="B11" s="33" t="str">
        <x:v>Checked feature; exact SOW gaps</x:v>
      </x:c>
      <x:c r="C11" s="33" t="str">
        <x:v>Plan marks helpdesk done, including acknowledgment and escalation.</x:v>
      </x:c>
      <x:c r="D11" s="33" t="str">
        <x:v>Ticket UI/API and performance export exist; thread/reply paths lack owner/assignee guard, escalation alerts same assignee, report omits assignee/SLA-hit details.</x:v>
      </x:c>
      <x:c r="E11" s="33" t="str">
        <x:v>Credit existing functionality. Close authorization, delivery, escalation and report gaps before SOW acceptance.</x:v>
      </x:c>
      <x:c r="F11" s="33" t="str">
        <x:v>backend/src/modules/helpdesk/helpdesk.service.ts; backend/src/modules/helpdesk/helpdesk.router.ts; backend/tests/helpdesk.integration.test.ts</x:v>
      </x:c>
      <x:c r="G11" s="33" t="str">
        <x:v>plans/phase-3-lifecycle-assets-executive.md</x:v>
      </x:c>
    </x:row>
    <x:row r="12" ht="135" customHeight="1">
      <x:c r="A12" s="32" t="str">
        <x:v>WF-02 / ATT-01 / SOW 10,49,51–54</x:v>
      </x:c>
      <x:c r="B12" s="32" t="str">
        <x:v>Mock/incomplete integration</x:v>
      </x:c>
      <x:c r="C12" s="32" t="str">
        <x:v>Plan progress must be read together with integration and UAT gates.</x:v>
      </x:c>
      <x:c r="D12" s="32" t="str">
        <x:v>Kent pipeline uses MockKentConnector. Notifications use devLogTransport; worker lacks processQueue consumer.</x:v>
      </x:c>
      <x:c r="E12" s="32" t="str">
        <x:v>Queue/mock code is credited as Partial; real biometric sync and delivered alerts remain.</x:v>
      </x:c>
      <x:c r="F12" s="32" t="str">
        <x:v>backend/src/modules/attendance/kent-sync.job.ts; backend/src/modules/notifications/notifications.service.ts; backend/src/jobs/worker.ts</x:v>
      </x:c>
      <x:c r="G12" s="32" t="str">
        <x:v>plans/phase-0-foundations.md; plans/phase-1-attendance-leave-workflows.md</x:v>
      </x:c>
    </x:row>
    <x:row r="13" ht="135" customHeight="1">
      <x:c r="A13" s="33" t="str">
        <x:v>RPT-03 / HD-01 scheduler</x:v>
      </x:c>
      <x:c r="B13" s="33" t="str">
        <x:v>Scheduled code; boot unverified</x:v>
      </x:c>
      <x:c r="C13" s="33" t="str">
        <x:v>Plan describes nightly KPI and hourly helpdesk jobs as wired.</x:v>
      </x:c>
      <x:c r="D13" s="33" t="str">
        <x:v>Schedules/workers exist, but both queue constants are omitted from explicit createQueue list.</x:v>
      </x:c>
      <x:c r="E13" s="33" t="str">
        <x:v>Record clean-DB boot risk; verify queue initialization and delivery. No production worker run performed.</x:v>
      </x:c>
      <x:c r="F13" s="33" t="str">
        <x:v>backend/src/jobs/worker.ts:45; backend/src/jobs/worker.ts:65; backend/src/jobs/worker.ts:99</x:v>
      </x:c>
      <x:c r="G13" s="33" t="str">
        <x:v>plans/phase-3-lifecycle-assets-executive.md</x:v>
      </x:c>
    </x:row>
    <x:row r="14" ht="135" customHeight="1">
      <x:c r="A14" s="32" t="str">
        <x:v>Phase 2 / lifecycle / ATS / travel</x:v>
      </x:c>
      <x:c r="B14" s="32" t="str">
        <x:v>Scaffolding is not implemented flow</x:v>
      </x:c>
      <x:c r="C14" s="32" t="str">
        <x:v>Plan stages are pending despite some migrations, templates and generic workflow definitions.</x:v>
      </x:c>
      <x:c r="D14" s="32" t="str">
        <x:v>Payroll/loan/claim business routers are absent; payroll/lifecycle/recruitment/travel screens include pending shells. Money utilities and chain seeds exist.</x:v>
      </x:c>
      <x:c r="E14" s="32" t="str">
        <x:v>Keep row-specific business processes Pending. Foundational/shared code is listed under What is done.</x:v>
      </x:c>
      <x:c r="F14" s="32" t="str">
        <x:v>backend/src/api/router.ts; backend/src/core/money; backend/src/modules/workflows/definitions.seed.ts; frontend/src/pages/payroll/PayrollPage.tsx</x:v>
      </x:c>
      <x:c r="G14" s="32" t="str">
        <x:v>plans/phase-2-payroll-statutory.md; plans/phase-3-lifecycle-assets-executive.md; plans/phase-4-ats-absorption.md</x:v>
      </x:c>
    </x:row>
  </x:sheetData>
  <x:pageMargins left="0.7" right="0.7" top="0.75" bottom="0.75" header="0.3" footer="0.3"/>
  <x:tableParts count="1">
    <x:tablePart xmlns:r="http://schemas.openxmlformats.org/officeDocument/2006/relationships" r:id="R6b1f1529db4a4cbd"/>
  </x:tableParts>
</x:worksheet>
</file>